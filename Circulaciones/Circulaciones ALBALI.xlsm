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3.xml" ContentType="application/vnd.openxmlformats-officedocument.spreadsheetml.table+xml"/>
  <Override PartName="/xl/drawings/drawing24.xml" ContentType="application/vnd.openxmlformats-officedocument.drawing+xml"/>
  <Override PartName="/xl/tables/table4.xml" ContentType="application/vnd.openxmlformats-officedocument.spreadsheetml.table+xml"/>
  <Override PartName="/xl/drawings/drawing25.xml" ContentType="application/vnd.openxmlformats-officedocument.drawing+xml"/>
  <Override PartName="/xl/tables/table5.xml" ContentType="application/vnd.openxmlformats-officedocument.spreadsheetml.table+xml"/>
  <Override PartName="/xl/drawings/drawing26.xml" ContentType="application/vnd.openxmlformats-officedocument.drawing+xml"/>
  <Override PartName="/xl/tables/table6.xml" ContentType="application/vnd.openxmlformats-officedocument.spreadsheetml.table+xml"/>
  <Override PartName="/xl/drawings/drawing27.xml" ContentType="application/vnd.openxmlformats-officedocument.drawing+xml"/>
  <Override PartName="/xl/tables/table7.xml" ContentType="application/vnd.openxmlformats-officedocument.spreadsheetml.table+xml"/>
  <Override PartName="/xl/drawings/drawing28.xml" ContentType="application/vnd.openxmlformats-officedocument.drawing+xml"/>
  <Override PartName="/xl/tables/table8.xml" ContentType="application/vnd.openxmlformats-officedocument.spreadsheetml.table+xml"/>
  <Override PartName="/xl/drawings/drawing29.xml" ContentType="application/vnd.openxmlformats-officedocument.drawing+xml"/>
  <Override PartName="/xl/tables/table9.xml" ContentType="application/vnd.openxmlformats-officedocument.spreadsheetml.table+xml"/>
  <Override PartName="/xl/drawings/drawing30.xml" ContentType="application/vnd.openxmlformats-officedocument.drawing+xml"/>
  <Override PartName="/xl/tables/table10.xml" ContentType="application/vnd.openxmlformats-officedocument.spreadsheetml.table+xml"/>
  <Override PartName="/xl/drawings/drawing31.xml" ContentType="application/vnd.openxmlformats-officedocument.drawing+xml"/>
  <Override PartName="/xl/tables/table11.xml" ContentType="application/vnd.openxmlformats-officedocument.spreadsheetml.table+xml"/>
  <Override PartName="/xl/drawings/drawing32.xml" ContentType="application/vnd.openxmlformats-officedocument.drawing+xml"/>
  <Override PartName="/xl/tables/table12.xml" ContentType="application/vnd.openxmlformats-officedocument.spreadsheetml.table+xml"/>
  <Override PartName="/xl/drawings/drawing33.xml" ContentType="application/vnd.openxmlformats-officedocument.drawing+xml"/>
  <Override PartName="/xl/tables/table13.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drawings/drawing34.xml" ContentType="application/vnd.openxmlformats-officedocument.drawing+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ivan_\OneDrive - Ingeniería y Economía del Transporte S.A\01 Seguimiento Contratos TELECO\07-Circulación Trenes LAV Este\2 - SALAVE\"/>
    </mc:Choice>
  </mc:AlternateContent>
  <xr:revisionPtr revIDLastSave="0" documentId="13_ncr:1_{08D96CE0-E8A2-48BF-98D8-173FFC6271F1}" xr6:coauthVersionLast="47" xr6:coauthVersionMax="47" xr10:uidLastSave="{00000000-0000-0000-0000-000000000000}"/>
  <bookViews>
    <workbookView xWindow="28680" yWindow="-120" windowWidth="29040" windowHeight="15720" firstSheet="24" activeTab="34" xr2:uid="{BA3641D9-5DB5-4EDA-976B-82F1C3C030D6}"/>
  </bookViews>
  <sheets>
    <sheet name="Históricov00" sheetId="9" state="hidden" r:id="rId1"/>
    <sheet name="MESv0" sheetId="28" state="hidden" r:id="rId2"/>
    <sheet name="MES" sheetId="35" r:id="rId3"/>
    <sheet name="Comparativa" sheetId="1" r:id="rId4"/>
    <sheet name="Simulacion índices" sheetId="7" r:id="rId5"/>
    <sheet name="ENE'23" sheetId="3" r:id="rId6"/>
    <sheet name="FEB'23" sheetId="5" r:id="rId7"/>
    <sheet name="MAR'23" sheetId="6" r:id="rId8"/>
    <sheet name="ABR'23" sheetId="8" r:id="rId9"/>
    <sheet name="MAY'23" sheetId="10" r:id="rId10"/>
    <sheet name="JUN'23" sheetId="11" r:id="rId11"/>
    <sheet name="JUL'23" sheetId="12" r:id="rId12"/>
    <sheet name="AGO'23" sheetId="13" r:id="rId13"/>
    <sheet name="SEP'23" sheetId="15" r:id="rId14"/>
    <sheet name="OCT'23" sheetId="16" r:id="rId15"/>
    <sheet name="NOV'23" sheetId="18" r:id="rId16"/>
    <sheet name="DIC'23" sheetId="19" r:id="rId17"/>
    <sheet name="ENE'24" sheetId="20" r:id="rId18"/>
    <sheet name="FEB'24" sheetId="21" r:id="rId19"/>
    <sheet name="MAR'24" sheetId="22" r:id="rId20"/>
    <sheet name="ABR'24" sheetId="23" r:id="rId21"/>
    <sheet name="JUN'24" sheetId="25" r:id="rId22"/>
    <sheet name="JUL'24" sheetId="26" r:id="rId23"/>
    <sheet name="MAY'24" sheetId="24" r:id="rId24"/>
    <sheet name="AGO'24" sheetId="36" r:id="rId25"/>
    <sheet name="SEP'24" sheetId="38" r:id="rId26"/>
    <sheet name="OCT'24" sheetId="39" r:id="rId27"/>
    <sheet name="NOV'24" sheetId="40" r:id="rId28"/>
    <sheet name="DIC'24" sheetId="43" r:id="rId29"/>
    <sheet name="ENE'25" sheetId="44" r:id="rId30"/>
    <sheet name="FEB'25" sheetId="45" r:id="rId31"/>
    <sheet name="MAR'25" sheetId="46" r:id="rId32"/>
    <sheet name="ABR'25" sheetId="47" r:id="rId33"/>
    <sheet name="MAY'25" sheetId="48" r:id="rId34"/>
    <sheet name="Histórico" sheetId="2" r:id="rId35"/>
    <sheet name="FEB'23v0" sheetId="4" state="hidden" r:id="rId36"/>
  </sheets>
  <definedNames>
    <definedName name="_xlnm._FilterDatabase" localSheetId="34" hidden="1">Histórico!$B$3:$AI$124</definedName>
    <definedName name="_xlnm._FilterDatabase" localSheetId="0" hidden="1">Históricov00!$B$2:$AI$123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H7" i="48" l="1"/>
  <c r="AG7" i="48"/>
  <c r="AF7" i="48"/>
  <c r="AE7" i="48"/>
  <c r="AD7" i="48"/>
  <c r="AC7" i="48"/>
  <c r="AB7" i="48"/>
  <c r="AA7" i="48"/>
  <c r="Z7" i="48"/>
  <c r="Y7" i="48"/>
  <c r="X7" i="48"/>
  <c r="W7" i="48"/>
  <c r="V7" i="48"/>
  <c r="U7" i="48"/>
  <c r="T7" i="48"/>
  <c r="S7" i="48"/>
  <c r="R7" i="48"/>
  <c r="Q7" i="48"/>
  <c r="P7" i="48"/>
  <c r="O7" i="48"/>
  <c r="N7" i="48"/>
  <c r="M7" i="48"/>
  <c r="L7" i="48"/>
  <c r="K7" i="48"/>
  <c r="J7" i="48"/>
  <c r="I7" i="48"/>
  <c r="H7" i="48"/>
  <c r="G7" i="48"/>
  <c r="F7" i="48"/>
  <c r="E7" i="48"/>
  <c r="D7" i="48"/>
  <c r="AH7" i="47"/>
  <c r="AG7" i="47"/>
  <c r="AF7" i="47"/>
  <c r="AE7" i="47"/>
  <c r="AD7" i="47"/>
  <c r="AC7" i="47"/>
  <c r="AB7" i="47"/>
  <c r="AA7" i="47"/>
  <c r="Z7" i="47"/>
  <c r="Y7" i="47"/>
  <c r="X7" i="47"/>
  <c r="W7" i="47"/>
  <c r="V7" i="47"/>
  <c r="U7" i="47"/>
  <c r="T7" i="47"/>
  <c r="S7" i="47"/>
  <c r="R7" i="47"/>
  <c r="Q7" i="47"/>
  <c r="P7" i="47"/>
  <c r="O7" i="47"/>
  <c r="N7" i="47"/>
  <c r="M7" i="47"/>
  <c r="L7" i="47"/>
  <c r="K7" i="47"/>
  <c r="J7" i="47"/>
  <c r="I7" i="47"/>
  <c r="H7" i="47"/>
  <c r="G7" i="47"/>
  <c r="F7" i="47"/>
  <c r="E7" i="47"/>
  <c r="D7" i="47"/>
  <c r="AH7" i="46"/>
  <c r="AG7" i="46"/>
  <c r="AF7" i="46"/>
  <c r="AE7" i="46"/>
  <c r="AD7" i="46"/>
  <c r="AC7" i="46"/>
  <c r="AB7" i="46"/>
  <c r="AA7" i="46"/>
  <c r="Z7" i="46"/>
  <c r="Y7" i="46"/>
  <c r="X7" i="46"/>
  <c r="W7" i="46"/>
  <c r="V7" i="46"/>
  <c r="U7" i="46"/>
  <c r="T7" i="46"/>
  <c r="S7" i="46"/>
  <c r="R7" i="46"/>
  <c r="Q7" i="46"/>
  <c r="P7" i="46"/>
  <c r="O7" i="46"/>
  <c r="N7" i="46"/>
  <c r="M7" i="46"/>
  <c r="L7" i="46"/>
  <c r="K7" i="46"/>
  <c r="J7" i="46"/>
  <c r="I7" i="46"/>
  <c r="H7" i="46"/>
  <c r="G7" i="46"/>
  <c r="F7" i="46"/>
  <c r="E7" i="46"/>
  <c r="D7" i="46"/>
  <c r="AI145" i="2"/>
  <c r="AH7" i="45" l="1"/>
  <c r="AG7" i="45"/>
  <c r="AF7" i="45"/>
  <c r="AE7" i="45"/>
  <c r="AD7" i="45"/>
  <c r="AC7" i="45"/>
  <c r="AB7" i="45"/>
  <c r="AA7" i="45"/>
  <c r="Z7" i="45"/>
  <c r="Y7" i="45"/>
  <c r="X7" i="45"/>
  <c r="W7" i="45"/>
  <c r="V7" i="45"/>
  <c r="U7" i="45"/>
  <c r="T7" i="45"/>
  <c r="S7" i="45"/>
  <c r="R7" i="45"/>
  <c r="Q7" i="45"/>
  <c r="P7" i="45"/>
  <c r="O7" i="45"/>
  <c r="N7" i="45"/>
  <c r="M7" i="45"/>
  <c r="L7" i="45"/>
  <c r="K7" i="45"/>
  <c r="J7" i="45"/>
  <c r="I7" i="45"/>
  <c r="H7" i="45"/>
  <c r="G7" i="45"/>
  <c r="F7" i="45"/>
  <c r="E7" i="45"/>
  <c r="D7" i="45"/>
  <c r="AH7" i="44"/>
  <c r="AG7" i="44"/>
  <c r="AF7" i="44"/>
  <c r="AE7" i="44"/>
  <c r="AD7" i="44"/>
  <c r="AC7" i="44"/>
  <c r="AB7" i="44"/>
  <c r="AA7" i="44"/>
  <c r="Z7" i="44"/>
  <c r="Y7" i="44"/>
  <c r="X7" i="44"/>
  <c r="W7" i="44"/>
  <c r="V7" i="44"/>
  <c r="U7" i="44"/>
  <c r="T7" i="44"/>
  <c r="S7" i="44"/>
  <c r="R7" i="44"/>
  <c r="Q7" i="44"/>
  <c r="P7" i="44"/>
  <c r="O7" i="44"/>
  <c r="N7" i="44"/>
  <c r="M7" i="44"/>
  <c r="L7" i="44"/>
  <c r="K7" i="44"/>
  <c r="J7" i="44"/>
  <c r="I7" i="44"/>
  <c r="H7" i="44"/>
  <c r="G7" i="44"/>
  <c r="F7" i="44"/>
  <c r="E7" i="44"/>
  <c r="D7" i="44"/>
  <c r="AI143" i="2"/>
  <c r="AH7" i="43"/>
  <c r="AG7" i="43"/>
  <c r="AF7" i="43"/>
  <c r="AE7" i="43"/>
  <c r="AD7" i="43"/>
  <c r="AC7" i="43"/>
  <c r="AB7" i="43"/>
  <c r="AA7" i="43"/>
  <c r="Z7" i="43"/>
  <c r="Y7" i="43"/>
  <c r="X7" i="43"/>
  <c r="W7" i="43"/>
  <c r="V7" i="43"/>
  <c r="U7" i="43"/>
  <c r="T7" i="43"/>
  <c r="S7" i="43"/>
  <c r="R7" i="43"/>
  <c r="Q7" i="43"/>
  <c r="P7" i="43"/>
  <c r="O7" i="43"/>
  <c r="N7" i="43"/>
  <c r="M7" i="43"/>
  <c r="L7" i="43"/>
  <c r="K7" i="43"/>
  <c r="J7" i="43"/>
  <c r="I7" i="43"/>
  <c r="H7" i="43"/>
  <c r="G7" i="43"/>
  <c r="F7" i="43"/>
  <c r="E7" i="43"/>
  <c r="D7" i="43"/>
  <c r="AH7" i="40" l="1"/>
  <c r="AG7" i="40"/>
  <c r="AF7" i="40"/>
  <c r="AE7" i="40"/>
  <c r="AD7" i="40"/>
  <c r="AC7" i="40"/>
  <c r="AB7" i="40"/>
  <c r="AA7" i="40"/>
  <c r="Z7" i="40"/>
  <c r="Y7" i="40"/>
  <c r="X7" i="40"/>
  <c r="W7" i="40"/>
  <c r="V7" i="40"/>
  <c r="U7" i="40"/>
  <c r="T7" i="40"/>
  <c r="S7" i="40"/>
  <c r="R7" i="40"/>
  <c r="Q7" i="40"/>
  <c r="P7" i="40"/>
  <c r="O7" i="40"/>
  <c r="N7" i="40"/>
  <c r="M7" i="40"/>
  <c r="L7" i="40"/>
  <c r="K7" i="40"/>
  <c r="J7" i="40"/>
  <c r="I7" i="40"/>
  <c r="H7" i="40"/>
  <c r="G7" i="40"/>
  <c r="F7" i="40"/>
  <c r="E7" i="40"/>
  <c r="D7" i="40"/>
  <c r="AH7" i="39"/>
  <c r="AG7" i="39"/>
  <c r="AF7" i="39"/>
  <c r="AE7" i="39"/>
  <c r="AD7" i="39"/>
  <c r="AC7" i="39"/>
  <c r="AB7" i="39"/>
  <c r="AA7" i="39"/>
  <c r="Z7" i="39"/>
  <c r="Y7" i="39"/>
  <c r="X7" i="39"/>
  <c r="W7" i="39"/>
  <c r="V7" i="39"/>
  <c r="U7" i="39"/>
  <c r="T7" i="39"/>
  <c r="S7" i="39"/>
  <c r="R7" i="39"/>
  <c r="Q7" i="39"/>
  <c r="P7" i="39"/>
  <c r="O7" i="39"/>
  <c r="N7" i="39"/>
  <c r="M7" i="39"/>
  <c r="L7" i="39"/>
  <c r="K7" i="39"/>
  <c r="J7" i="39"/>
  <c r="I7" i="39"/>
  <c r="H7" i="39"/>
  <c r="G7" i="39"/>
  <c r="F7" i="39"/>
  <c r="E7" i="39"/>
  <c r="D7" i="39"/>
  <c r="AI6" i="38"/>
  <c r="AI7" i="38"/>
  <c r="AI5" i="38"/>
  <c r="AH7" i="38" l="1"/>
  <c r="AG7" i="38"/>
  <c r="AF7" i="38"/>
  <c r="AE7" i="38"/>
  <c r="AD7" i="38"/>
  <c r="AC7" i="38"/>
  <c r="AB7" i="38"/>
  <c r="AA7" i="38"/>
  <c r="Z7" i="38"/>
  <c r="Y7" i="38"/>
  <c r="X7" i="38"/>
  <c r="W7" i="38"/>
  <c r="V7" i="38"/>
  <c r="U7" i="38"/>
  <c r="T7" i="38"/>
  <c r="S7" i="38"/>
  <c r="R7" i="38"/>
  <c r="Q7" i="38"/>
  <c r="P7" i="38"/>
  <c r="O7" i="38"/>
  <c r="N7" i="38"/>
  <c r="M7" i="38"/>
  <c r="L7" i="38"/>
  <c r="K7" i="38"/>
  <c r="J7" i="38"/>
  <c r="I7" i="38"/>
  <c r="H7" i="38"/>
  <c r="G7" i="38"/>
  <c r="F7" i="38"/>
  <c r="E7" i="38"/>
  <c r="D7" i="38"/>
  <c r="AH7" i="36"/>
  <c r="AG7" i="36"/>
  <c r="AF7" i="36"/>
  <c r="AE7" i="36"/>
  <c r="AD7" i="36"/>
  <c r="AC7" i="36"/>
  <c r="AB7" i="36"/>
  <c r="AA7" i="36"/>
  <c r="Z7" i="36"/>
  <c r="Y7" i="36"/>
  <c r="X7" i="36"/>
  <c r="W7" i="36"/>
  <c r="V7" i="36"/>
  <c r="U7" i="36"/>
  <c r="T7" i="36"/>
  <c r="S7" i="36"/>
  <c r="R7" i="36"/>
  <c r="Q7" i="36"/>
  <c r="P7" i="36"/>
  <c r="O7" i="36"/>
  <c r="N7" i="36"/>
  <c r="M7" i="36"/>
  <c r="L7" i="36"/>
  <c r="K7" i="36"/>
  <c r="J7" i="36"/>
  <c r="I7" i="36"/>
  <c r="H7" i="36"/>
  <c r="G7" i="36"/>
  <c r="F7" i="36"/>
  <c r="E7" i="36"/>
  <c r="D7" i="36"/>
  <c r="AG7" i="35"/>
  <c r="AH7" i="35"/>
  <c r="V7" i="35"/>
  <c r="N7" i="35"/>
  <c r="AD7" i="35"/>
  <c r="O7" i="35"/>
  <c r="AE7" i="35"/>
  <c r="E7" i="35"/>
  <c r="U7" i="35"/>
  <c r="AI137" i="2"/>
  <c r="Y7" i="35" l="1"/>
  <c r="I7" i="35"/>
  <c r="S7" i="35"/>
  <c r="F7" i="35"/>
  <c r="R7" i="35"/>
  <c r="D7" i="35"/>
  <c r="Z7" i="35"/>
  <c r="J7" i="35"/>
  <c r="P7" i="35"/>
  <c r="Q7" i="35"/>
  <c r="AB7" i="35"/>
  <c r="L7" i="35"/>
  <c r="AA7" i="35"/>
  <c r="K7" i="35"/>
  <c r="T7" i="35"/>
  <c r="AF7" i="35"/>
  <c r="AC7" i="35"/>
  <c r="M7" i="35"/>
  <c r="X7" i="35"/>
  <c r="H7" i="35"/>
  <c r="W7" i="35"/>
  <c r="G7" i="35"/>
  <c r="D39" i="28"/>
  <c r="C39" i="28"/>
  <c r="H10" i="28" a="1"/>
  <c r="AI10" i="28" s="1"/>
  <c r="H9" i="28" a="1"/>
  <c r="AE9" i="28" s="1"/>
  <c r="F7" i="28"/>
  <c r="F7" i="26"/>
  <c r="R9" i="28" l="1"/>
  <c r="H9" i="28"/>
  <c r="T9" i="28"/>
  <c r="AF9" i="28"/>
  <c r="AF11" i="28" s="1"/>
  <c r="L10" i="28"/>
  <c r="X10" i="28"/>
  <c r="AJ10" i="28"/>
  <c r="V10" i="28"/>
  <c r="I9" i="28"/>
  <c r="U9" i="28"/>
  <c r="U11" i="28" s="1"/>
  <c r="AG9" i="28"/>
  <c r="AG11" i="28" s="1"/>
  <c r="M10" i="28"/>
  <c r="Y10" i="28"/>
  <c r="AK10" i="28"/>
  <c r="J9" i="28"/>
  <c r="V9" i="28"/>
  <c r="AH9" i="28"/>
  <c r="N10" i="28"/>
  <c r="Z10" i="28"/>
  <c r="AL10" i="28"/>
  <c r="AD9" i="28"/>
  <c r="K9" i="28"/>
  <c r="W9" i="28"/>
  <c r="W11" i="28" s="1"/>
  <c r="O10" i="28"/>
  <c r="AA10" i="28"/>
  <c r="L9" i="28"/>
  <c r="X9" i="28"/>
  <c r="X11" i="28" s="1"/>
  <c r="AJ9" i="28"/>
  <c r="P10" i="28"/>
  <c r="AB10" i="28"/>
  <c r="AH10" i="28"/>
  <c r="AI9" i="28"/>
  <c r="AI11" i="28" s="1"/>
  <c r="M9" i="28"/>
  <c r="M11" i="28" s="1"/>
  <c r="Y9" i="28"/>
  <c r="Y11" i="28" s="1"/>
  <c r="AK9" i="28"/>
  <c r="AK11" i="28" s="1"/>
  <c r="Q10" i="28"/>
  <c r="AC10" i="28"/>
  <c r="J10" i="28"/>
  <c r="N9" i="28"/>
  <c r="N11" i="28" s="1"/>
  <c r="Z9" i="28"/>
  <c r="AL9" i="28"/>
  <c r="R10" i="28"/>
  <c r="AD10" i="28"/>
  <c r="P9" i="28"/>
  <c r="P11" i="28" s="1"/>
  <c r="AB9" i="28"/>
  <c r="AB11" i="28" s="1"/>
  <c r="H10" i="28"/>
  <c r="T10" i="28"/>
  <c r="AF10" i="28"/>
  <c r="O9" i="28"/>
  <c r="O11" i="28" s="1"/>
  <c r="AA9" i="28"/>
  <c r="AA11" i="28" s="1"/>
  <c r="S10" i="28"/>
  <c r="AE10" i="28"/>
  <c r="AE11" i="28" s="1"/>
  <c r="Q9" i="28"/>
  <c r="Q11" i="28" s="1"/>
  <c r="AC9" i="28"/>
  <c r="AC11" i="28" s="1"/>
  <c r="I10" i="28"/>
  <c r="U10" i="28"/>
  <c r="AG10" i="28"/>
  <c r="S9" i="28"/>
  <c r="S11" i="28" s="1"/>
  <c r="K10" i="28"/>
  <c r="W10" i="28"/>
  <c r="AI138" i="2"/>
  <c r="AJ137" i="2" s="1"/>
  <c r="D39" i="26"/>
  <c r="C39" i="26"/>
  <c r="H10" i="26" a="1"/>
  <c r="AI10" i="26" s="1"/>
  <c r="H9" i="26" a="1"/>
  <c r="AE9" i="26" s="1"/>
  <c r="AI128" i="2"/>
  <c r="AI129" i="2"/>
  <c r="AI130" i="2"/>
  <c r="AI131" i="2"/>
  <c r="AI132" i="2"/>
  <c r="AI133" i="2"/>
  <c r="AI134" i="2"/>
  <c r="AI135" i="2"/>
  <c r="AI136" i="2"/>
  <c r="AD11" i="28" l="1"/>
  <c r="I11" i="28"/>
  <c r="K11" i="28"/>
  <c r="AL11" i="28"/>
  <c r="AH11" i="28"/>
  <c r="Z11" i="28"/>
  <c r="AJ11" i="28"/>
  <c r="V11" i="28"/>
  <c r="J11" i="28"/>
  <c r="T11" i="28"/>
  <c r="L11" i="28"/>
  <c r="H11" i="28"/>
  <c r="R11" i="28"/>
  <c r="AA9" i="26"/>
  <c r="V10" i="26"/>
  <c r="H9" i="26"/>
  <c r="T9" i="26"/>
  <c r="AF9" i="26"/>
  <c r="L10" i="26"/>
  <c r="X10" i="26"/>
  <c r="AJ10" i="26"/>
  <c r="I9" i="26"/>
  <c r="I11" i="26" s="1"/>
  <c r="U9" i="26"/>
  <c r="U11" i="26" s="1"/>
  <c r="AG9" i="26"/>
  <c r="AG11" i="26" s="1"/>
  <c r="M10" i="26"/>
  <c r="Y10" i="26"/>
  <c r="AK10" i="26"/>
  <c r="AJ9" i="26"/>
  <c r="R9" i="26"/>
  <c r="J10" i="26"/>
  <c r="J9" i="26"/>
  <c r="J11" i="26" s="1"/>
  <c r="V9" i="26"/>
  <c r="V11" i="26" s="1"/>
  <c r="AH9" i="26"/>
  <c r="AH11" i="26" s="1"/>
  <c r="N10" i="26"/>
  <c r="Z10" i="26"/>
  <c r="AL10" i="26"/>
  <c r="X9" i="26"/>
  <c r="O9" i="26"/>
  <c r="P9" i="26"/>
  <c r="AD9" i="26"/>
  <c r="AH10" i="26"/>
  <c r="K9" i="26"/>
  <c r="W9" i="26"/>
  <c r="AI9" i="26"/>
  <c r="AI11" i="26" s="1"/>
  <c r="O10" i="26"/>
  <c r="AA10" i="26"/>
  <c r="P10" i="26"/>
  <c r="M9" i="26"/>
  <c r="Y9" i="26"/>
  <c r="AK9" i="26"/>
  <c r="Q10" i="26"/>
  <c r="AC10" i="26"/>
  <c r="N9" i="26"/>
  <c r="Z9" i="26"/>
  <c r="AL9" i="26"/>
  <c r="R10" i="26"/>
  <c r="AD10" i="26"/>
  <c r="S10" i="26"/>
  <c r="AE10" i="26"/>
  <c r="AE11" i="26" s="1"/>
  <c r="L9" i="26"/>
  <c r="AB10" i="26"/>
  <c r="AB9" i="26"/>
  <c r="H10" i="26"/>
  <c r="T10" i="26"/>
  <c r="AF10" i="26"/>
  <c r="Q9" i="26"/>
  <c r="Q11" i="26" s="1"/>
  <c r="AC9" i="26"/>
  <c r="AC11" i="26" s="1"/>
  <c r="I10" i="26"/>
  <c r="U10" i="26"/>
  <c r="AG10" i="26"/>
  <c r="S9" i="26"/>
  <c r="S11" i="26" s="1"/>
  <c r="K10" i="26"/>
  <c r="W10" i="26"/>
  <c r="D39" i="25"/>
  <c r="C39" i="25"/>
  <c r="H10" i="25" a="1"/>
  <c r="AI10" i="25" s="1"/>
  <c r="H9" i="25" a="1"/>
  <c r="AE9" i="25" s="1"/>
  <c r="F7" i="25"/>
  <c r="D39" i="24"/>
  <c r="C39" i="24"/>
  <c r="H10" i="24" a="1"/>
  <c r="AH10" i="24" s="1"/>
  <c r="H9" i="24" a="1"/>
  <c r="AD9" i="24" s="1"/>
  <c r="F7" i="24"/>
  <c r="AF11" i="26" l="1"/>
  <c r="H11" i="26"/>
  <c r="L11" i="26"/>
  <c r="W11" i="26"/>
  <c r="T11" i="26"/>
  <c r="M11" i="26"/>
  <c r="AB11" i="26"/>
  <c r="Z11" i="26"/>
  <c r="R11" i="26"/>
  <c r="P11" i="26"/>
  <c r="AL11" i="26"/>
  <c r="K11" i="26"/>
  <c r="N11" i="26"/>
  <c r="AA11" i="26"/>
  <c r="AD11" i="26"/>
  <c r="AJ11" i="26"/>
  <c r="AK11" i="26"/>
  <c r="O11" i="26"/>
  <c r="Y11" i="26"/>
  <c r="X11" i="26"/>
  <c r="T9" i="25"/>
  <c r="X10" i="25"/>
  <c r="I9" i="25"/>
  <c r="U9" i="25"/>
  <c r="AG9" i="25"/>
  <c r="M10" i="25"/>
  <c r="Y10" i="25"/>
  <c r="AK10" i="25"/>
  <c r="J9" i="25"/>
  <c r="V9" i="25"/>
  <c r="AH9" i="25"/>
  <c r="AH11" i="25" s="1"/>
  <c r="N10" i="25"/>
  <c r="Z10" i="25"/>
  <c r="AL10" i="25"/>
  <c r="K9" i="25"/>
  <c r="W9" i="25"/>
  <c r="AI9" i="25"/>
  <c r="AI11" i="25" s="1"/>
  <c r="O10" i="25"/>
  <c r="AA10" i="25"/>
  <c r="L9" i="25"/>
  <c r="X9" i="25"/>
  <c r="X11" i="25" s="1"/>
  <c r="AJ9" i="25"/>
  <c r="P10" i="25"/>
  <c r="AB10" i="25"/>
  <c r="N9" i="25"/>
  <c r="S10" i="25"/>
  <c r="AE10" i="25"/>
  <c r="AE11" i="25" s="1"/>
  <c r="H9" i="25"/>
  <c r="H11" i="25" s="1"/>
  <c r="L10" i="25"/>
  <c r="M9" i="25"/>
  <c r="M11" i="25" s="1"/>
  <c r="Q10" i="25"/>
  <c r="Z9" i="25"/>
  <c r="Z11" i="25" s="1"/>
  <c r="AD10" i="25"/>
  <c r="O9" i="25"/>
  <c r="O11" i="25" s="1"/>
  <c r="AA9" i="25"/>
  <c r="AA11" i="25" s="1"/>
  <c r="P9" i="25"/>
  <c r="AB9" i="25"/>
  <c r="H10" i="25"/>
  <c r="T10" i="25"/>
  <c r="AF10" i="25"/>
  <c r="Q9" i="25"/>
  <c r="AC9" i="25"/>
  <c r="AC11" i="25" s="1"/>
  <c r="I10" i="25"/>
  <c r="U10" i="25"/>
  <c r="AG10" i="25"/>
  <c r="AF9" i="25"/>
  <c r="AF11" i="25" s="1"/>
  <c r="AJ10" i="25"/>
  <c r="Y9" i="25"/>
  <c r="AK9" i="25"/>
  <c r="AC10" i="25"/>
  <c r="AL9" i="25"/>
  <c r="AL11" i="25" s="1"/>
  <c r="R10" i="25"/>
  <c r="R9" i="25"/>
  <c r="AD9" i="25"/>
  <c r="J10" i="25"/>
  <c r="V10" i="25"/>
  <c r="AH10" i="25"/>
  <c r="S9" i="25"/>
  <c r="S11" i="25" s="1"/>
  <c r="K10" i="25"/>
  <c r="W10" i="25"/>
  <c r="AJ10" i="24"/>
  <c r="AE9" i="24"/>
  <c r="H9" i="24"/>
  <c r="H11" i="24" s="1"/>
  <c r="T9" i="24"/>
  <c r="AF9" i="24"/>
  <c r="L10" i="24"/>
  <c r="X10" i="24"/>
  <c r="I9" i="24"/>
  <c r="U9" i="24"/>
  <c r="AG9" i="24"/>
  <c r="AG11" i="24" s="1"/>
  <c r="M10" i="24"/>
  <c r="Y10" i="24"/>
  <c r="AK10" i="24"/>
  <c r="K10" i="24"/>
  <c r="J9" i="24"/>
  <c r="V9" i="24"/>
  <c r="AH9" i="24"/>
  <c r="AH11" i="24" s="1"/>
  <c r="N10" i="24"/>
  <c r="Z10" i="24"/>
  <c r="AL10" i="24"/>
  <c r="K9" i="24"/>
  <c r="K11" i="24" s="1"/>
  <c r="W9" i="24"/>
  <c r="W11" i="24" s="1"/>
  <c r="AI9" i="24"/>
  <c r="O10" i="24"/>
  <c r="AA10" i="24"/>
  <c r="AB10" i="24"/>
  <c r="W10" i="24"/>
  <c r="AJ9" i="24"/>
  <c r="AJ11" i="24" s="1"/>
  <c r="M9" i="24"/>
  <c r="Y9" i="24"/>
  <c r="Q10" i="24"/>
  <c r="AC10" i="24"/>
  <c r="S9" i="24"/>
  <c r="S11" i="24" s="1"/>
  <c r="L9" i="24"/>
  <c r="L11" i="24" s="1"/>
  <c r="X9" i="24"/>
  <c r="X11" i="24" s="1"/>
  <c r="P10" i="24"/>
  <c r="AK9" i="24"/>
  <c r="AK11" i="24" s="1"/>
  <c r="N9" i="24"/>
  <c r="Z9" i="24"/>
  <c r="AL9" i="24"/>
  <c r="R10" i="24"/>
  <c r="AD10" i="24"/>
  <c r="AD11" i="24" s="1"/>
  <c r="S10" i="24"/>
  <c r="AE10" i="24"/>
  <c r="AI10" i="24"/>
  <c r="O9" i="24"/>
  <c r="AA9" i="24"/>
  <c r="AA11" i="24" s="1"/>
  <c r="P9" i="24"/>
  <c r="AB9" i="24"/>
  <c r="H10" i="24"/>
  <c r="T10" i="24"/>
  <c r="AF10" i="24"/>
  <c r="AG10" i="24"/>
  <c r="Q9" i="24"/>
  <c r="AC9" i="24"/>
  <c r="I10" i="24"/>
  <c r="U10" i="24"/>
  <c r="R9" i="24"/>
  <c r="R11" i="24" s="1"/>
  <c r="J10" i="24"/>
  <c r="V10" i="24"/>
  <c r="D39" i="23"/>
  <c r="C39" i="23"/>
  <c r="H10" i="23" a="1"/>
  <c r="AI10" i="23" s="1"/>
  <c r="H9" i="23" a="1"/>
  <c r="AE9" i="23" s="1"/>
  <c r="F7" i="23"/>
  <c r="D39" i="22"/>
  <c r="C39" i="22"/>
  <c r="H10" i="22" a="1"/>
  <c r="AI10" i="22" s="1"/>
  <c r="H9" i="22" a="1"/>
  <c r="AE9" i="22" s="1"/>
  <c r="F7" i="22"/>
  <c r="D39" i="21"/>
  <c r="C39" i="21"/>
  <c r="H10" i="21" a="1"/>
  <c r="AI10" i="21" s="1"/>
  <c r="H9" i="21" a="1"/>
  <c r="AE9" i="21" s="1"/>
  <c r="F7" i="21"/>
  <c r="D39" i="20"/>
  <c r="C39" i="20"/>
  <c r="H10" i="20" a="1"/>
  <c r="AI10" i="20" s="1"/>
  <c r="H9" i="20" a="1"/>
  <c r="AE9" i="20" s="1"/>
  <c r="F7" i="20"/>
  <c r="D39" i="19"/>
  <c r="C39" i="19"/>
  <c r="H10" i="19" a="1"/>
  <c r="AK10" i="19" s="1"/>
  <c r="H9" i="19" a="1"/>
  <c r="AH9" i="19" s="1"/>
  <c r="F7" i="19"/>
  <c r="AM9" i="18"/>
  <c r="AM10" i="18"/>
  <c r="AM8" i="18"/>
  <c r="D38" i="18"/>
  <c r="C38" i="18"/>
  <c r="H9" i="18" a="1"/>
  <c r="AI9" i="18" s="1"/>
  <c r="H8" i="18" a="1"/>
  <c r="AL8" i="18" s="1"/>
  <c r="F6" i="18"/>
  <c r="D38" i="16"/>
  <c r="C38" i="16"/>
  <c r="H9" i="16" a="1"/>
  <c r="AH9" i="16" s="1"/>
  <c r="H8" i="16" a="1"/>
  <c r="AD8" i="16" s="1"/>
  <c r="F6" i="16"/>
  <c r="D38" i="15"/>
  <c r="C38" i="15"/>
  <c r="H9" i="15" a="1"/>
  <c r="AI9" i="15" s="1"/>
  <c r="H8" i="15" a="1"/>
  <c r="AE8" i="15" s="1"/>
  <c r="F6" i="15"/>
  <c r="AI125" i="2"/>
  <c r="AI126" i="2"/>
  <c r="AI127" i="2"/>
  <c r="AI123" i="2"/>
  <c r="E38" i="13"/>
  <c r="D38" i="13"/>
  <c r="C38" i="13"/>
  <c r="K10" i="13" a="1"/>
  <c r="AM10" i="13" s="1"/>
  <c r="AP9" i="13"/>
  <c r="K9" i="13" a="1"/>
  <c r="AJ9" i="13" s="1"/>
  <c r="H7" i="13"/>
  <c r="E38" i="12"/>
  <c r="D38" i="12"/>
  <c r="C38" i="12"/>
  <c r="K10" i="12" a="1"/>
  <c r="AM10" i="12" s="1"/>
  <c r="AP9" i="12"/>
  <c r="K9" i="12" a="1"/>
  <c r="AJ9" i="12" s="1"/>
  <c r="H7" i="12"/>
  <c r="E38" i="11"/>
  <c r="D38" i="11"/>
  <c r="C38" i="11"/>
  <c r="K10" i="11" a="1"/>
  <c r="AE10" i="11" s="1"/>
  <c r="AP9" i="11"/>
  <c r="K9" i="11" a="1"/>
  <c r="AN9" i="11" s="1"/>
  <c r="H7" i="11"/>
  <c r="L12" i="3"/>
  <c r="M12" i="3"/>
  <c r="N12" i="3"/>
  <c r="O12" i="3"/>
  <c r="P12" i="3"/>
  <c r="Q12" i="3"/>
  <c r="R12" i="3"/>
  <c r="S12" i="3"/>
  <c r="T12" i="3"/>
  <c r="U12" i="3"/>
  <c r="V12" i="3"/>
  <c r="W12" i="3"/>
  <c r="X12" i="3"/>
  <c r="Y12" i="3"/>
  <c r="Z12" i="3"/>
  <c r="AA12" i="3"/>
  <c r="AB12" i="3"/>
  <c r="AC12" i="3"/>
  <c r="AD12" i="3"/>
  <c r="AE12" i="3"/>
  <c r="AF12" i="3"/>
  <c r="AG12" i="3"/>
  <c r="AH12" i="3"/>
  <c r="AI12" i="3"/>
  <c r="AJ12" i="3"/>
  <c r="AK12" i="3"/>
  <c r="AL12" i="3"/>
  <c r="AM12" i="3"/>
  <c r="AN12" i="3"/>
  <c r="AO12" i="3"/>
  <c r="K12" i="3"/>
  <c r="L11" i="10"/>
  <c r="M11" i="10"/>
  <c r="N11" i="10"/>
  <c r="O11" i="10"/>
  <c r="P11" i="10"/>
  <c r="Q11" i="10"/>
  <c r="R11" i="10"/>
  <c r="S11" i="10"/>
  <c r="T11" i="10"/>
  <c r="U11" i="10"/>
  <c r="V11" i="10"/>
  <c r="W11" i="10"/>
  <c r="X11" i="10"/>
  <c r="Y11" i="10"/>
  <c r="Z11" i="10"/>
  <c r="AA11" i="10"/>
  <c r="AB11" i="10"/>
  <c r="AC11" i="10"/>
  <c r="AD11" i="10"/>
  <c r="AE11" i="10"/>
  <c r="AF11" i="10"/>
  <c r="AG11" i="10"/>
  <c r="AH11" i="10"/>
  <c r="AI11" i="10"/>
  <c r="AJ11" i="10"/>
  <c r="AK11" i="10"/>
  <c r="AL11" i="10"/>
  <c r="AM11" i="10"/>
  <c r="AN11" i="10"/>
  <c r="AO11" i="10"/>
  <c r="K11" i="10"/>
  <c r="L11" i="8"/>
  <c r="M11" i="8"/>
  <c r="N11" i="8"/>
  <c r="O11" i="8"/>
  <c r="P11" i="8"/>
  <c r="Q11" i="8"/>
  <c r="R11" i="8"/>
  <c r="S11" i="8"/>
  <c r="T11" i="8"/>
  <c r="U11" i="8"/>
  <c r="V11" i="8"/>
  <c r="W11" i="8"/>
  <c r="X11" i="8"/>
  <c r="Y11" i="8"/>
  <c r="Z11" i="8"/>
  <c r="AA11" i="8"/>
  <c r="AB11" i="8"/>
  <c r="AC11" i="8"/>
  <c r="AD11" i="8"/>
  <c r="AE11" i="8"/>
  <c r="AF11" i="8"/>
  <c r="AG11" i="8"/>
  <c r="AH11" i="8"/>
  <c r="AI11" i="8"/>
  <c r="AJ11" i="8"/>
  <c r="AK11" i="8"/>
  <c r="AL11" i="8"/>
  <c r="AM11" i="8"/>
  <c r="AN11" i="8"/>
  <c r="AO11" i="8"/>
  <c r="K11" i="8"/>
  <c r="L11" i="6"/>
  <c r="M11" i="6"/>
  <c r="N11" i="6"/>
  <c r="O11" i="6"/>
  <c r="P11" i="6"/>
  <c r="Q11" i="6"/>
  <c r="R11" i="6"/>
  <c r="S11" i="6"/>
  <c r="T11" i="6"/>
  <c r="U11" i="6"/>
  <c r="V11" i="6"/>
  <c r="W11" i="6"/>
  <c r="X11" i="6"/>
  <c r="Y11" i="6"/>
  <c r="Z11" i="6"/>
  <c r="AA11" i="6"/>
  <c r="AB11" i="6"/>
  <c r="AC11" i="6"/>
  <c r="AD11" i="6"/>
  <c r="AE11" i="6"/>
  <c r="AF11" i="6"/>
  <c r="AG11" i="6"/>
  <c r="AH11" i="6"/>
  <c r="AI11" i="6"/>
  <c r="AJ11" i="6"/>
  <c r="AK11" i="6"/>
  <c r="AL11" i="6"/>
  <c r="AM11" i="6"/>
  <c r="AN11" i="6"/>
  <c r="AO11" i="6"/>
  <c r="K11" i="6"/>
  <c r="L11" i="5"/>
  <c r="M11" i="5"/>
  <c r="N11" i="5"/>
  <c r="O11" i="5"/>
  <c r="P11" i="5"/>
  <c r="Q11" i="5"/>
  <c r="R11" i="5"/>
  <c r="S11" i="5"/>
  <c r="T11" i="5"/>
  <c r="U11" i="5"/>
  <c r="V11" i="5"/>
  <c r="W11" i="5"/>
  <c r="X11" i="5"/>
  <c r="Y11" i="5"/>
  <c r="Z11" i="5"/>
  <c r="AA11" i="5"/>
  <c r="AB11" i="5"/>
  <c r="AC11" i="5"/>
  <c r="AD11" i="5"/>
  <c r="AE11" i="5"/>
  <c r="AF11" i="5"/>
  <c r="AG11" i="5"/>
  <c r="AH11" i="5"/>
  <c r="AI11" i="5"/>
  <c r="AJ11" i="5"/>
  <c r="AK11" i="5"/>
  <c r="AL11" i="5"/>
  <c r="AM11" i="5"/>
  <c r="AN11" i="5"/>
  <c r="AO11" i="5"/>
  <c r="K11" i="5"/>
  <c r="U22" i="3"/>
  <c r="L22" i="3"/>
  <c r="M22" i="3"/>
  <c r="N22" i="3"/>
  <c r="O22" i="3"/>
  <c r="P22" i="3"/>
  <c r="Q22" i="3"/>
  <c r="R22" i="3"/>
  <c r="S22" i="3"/>
  <c r="T22" i="3"/>
  <c r="V22" i="3"/>
  <c r="W22" i="3"/>
  <c r="X22" i="3"/>
  <c r="Y22" i="3"/>
  <c r="Z22" i="3"/>
  <c r="AA22" i="3"/>
  <c r="AB22" i="3"/>
  <c r="AC22" i="3"/>
  <c r="AD22" i="3"/>
  <c r="AE22" i="3"/>
  <c r="AF22" i="3"/>
  <c r="AG22" i="3"/>
  <c r="AH22" i="3"/>
  <c r="AI22" i="3"/>
  <c r="AJ22" i="3"/>
  <c r="AK22" i="3"/>
  <c r="AL22" i="3"/>
  <c r="AM22" i="3"/>
  <c r="AN22" i="3"/>
  <c r="AO22" i="3"/>
  <c r="K22" i="3"/>
  <c r="AI124" i="2"/>
  <c r="AJ125" i="2" l="1"/>
  <c r="J11" i="25"/>
  <c r="V11" i="25"/>
  <c r="L11" i="25"/>
  <c r="R11" i="25"/>
  <c r="W11" i="25"/>
  <c r="AB11" i="25"/>
  <c r="N11" i="25"/>
  <c r="Q11" i="25"/>
  <c r="AG11" i="25"/>
  <c r="AD11" i="25"/>
  <c r="U11" i="25"/>
  <c r="K11" i="25"/>
  <c r="I11" i="25"/>
  <c r="AJ11" i="25"/>
  <c r="AK11" i="25"/>
  <c r="T11" i="25"/>
  <c r="Y11" i="25"/>
  <c r="P11" i="25"/>
  <c r="P11" i="24"/>
  <c r="I11" i="24"/>
  <c r="Q11" i="24"/>
  <c r="AI11" i="24"/>
  <c r="O11" i="24"/>
  <c r="Y11" i="24"/>
  <c r="Z11" i="24"/>
  <c r="AC11" i="24"/>
  <c r="U11" i="24"/>
  <c r="M11" i="24"/>
  <c r="AF11" i="24"/>
  <c r="AL11" i="24"/>
  <c r="V11" i="24"/>
  <c r="T11" i="24"/>
  <c r="J11" i="24"/>
  <c r="N11" i="24"/>
  <c r="AE11" i="24"/>
  <c r="AB11" i="24"/>
  <c r="L10" i="23"/>
  <c r="I9" i="23"/>
  <c r="U9" i="23"/>
  <c r="AG9" i="23"/>
  <c r="Y10" i="23"/>
  <c r="AH9" i="23"/>
  <c r="AL10" i="23"/>
  <c r="L9" i="23"/>
  <c r="L11" i="23" s="1"/>
  <c r="X9" i="23"/>
  <c r="AJ9" i="23"/>
  <c r="P10" i="23"/>
  <c r="AB10" i="23"/>
  <c r="T9" i="23"/>
  <c r="W9" i="23"/>
  <c r="O10" i="23"/>
  <c r="M9" i="23"/>
  <c r="M11" i="23" s="1"/>
  <c r="Y9" i="23"/>
  <c r="Y11" i="23" s="1"/>
  <c r="AK9" i="23"/>
  <c r="N9" i="23"/>
  <c r="Z9" i="23"/>
  <c r="AL9" i="23"/>
  <c r="AL11" i="23" s="1"/>
  <c r="R10" i="23"/>
  <c r="AD10" i="23"/>
  <c r="S10" i="23"/>
  <c r="AE10" i="23"/>
  <c r="AE11" i="23" s="1"/>
  <c r="H9" i="23"/>
  <c r="X10" i="23"/>
  <c r="AK10" i="23"/>
  <c r="V9" i="23"/>
  <c r="Z10" i="23"/>
  <c r="Q10" i="23"/>
  <c r="AA9" i="23"/>
  <c r="AA11" i="23" s="1"/>
  <c r="P9" i="23"/>
  <c r="AB9" i="23"/>
  <c r="H10" i="23"/>
  <c r="T10" i="23"/>
  <c r="AF10" i="23"/>
  <c r="AF9" i="23"/>
  <c r="M10" i="23"/>
  <c r="J9" i="23"/>
  <c r="K9" i="23"/>
  <c r="AI9" i="23"/>
  <c r="AI11" i="23" s="1"/>
  <c r="AA10" i="23"/>
  <c r="O9" i="23"/>
  <c r="Q9" i="23"/>
  <c r="Q11" i="23" s="1"/>
  <c r="AC9" i="23"/>
  <c r="AC11" i="23" s="1"/>
  <c r="I10" i="23"/>
  <c r="U10" i="23"/>
  <c r="AG10" i="23"/>
  <c r="AJ10" i="23"/>
  <c r="N10" i="23"/>
  <c r="AC10" i="23"/>
  <c r="R9" i="23"/>
  <c r="AD9" i="23"/>
  <c r="J10" i="23"/>
  <c r="V10" i="23"/>
  <c r="AH10" i="23"/>
  <c r="S9" i="23"/>
  <c r="K10" i="23"/>
  <c r="W10" i="23"/>
  <c r="L10" i="22"/>
  <c r="X10" i="22"/>
  <c r="AJ10" i="22"/>
  <c r="H9" i="22"/>
  <c r="AF9" i="22"/>
  <c r="T9" i="22"/>
  <c r="H11" i="22"/>
  <c r="I9" i="22"/>
  <c r="U9" i="22"/>
  <c r="AG9" i="22"/>
  <c r="AG11" i="22" s="1"/>
  <c r="M10" i="22"/>
  <c r="Y10" i="22"/>
  <c r="AK10" i="22"/>
  <c r="J9" i="22"/>
  <c r="V9" i="22"/>
  <c r="AH9" i="22"/>
  <c r="N10" i="22"/>
  <c r="Z10" i="22"/>
  <c r="AL10" i="22"/>
  <c r="K9" i="22"/>
  <c r="W9" i="22"/>
  <c r="AI9" i="22"/>
  <c r="AI11" i="22" s="1"/>
  <c r="O10" i="22"/>
  <c r="AA10" i="22"/>
  <c r="M9" i="22"/>
  <c r="AC10" i="22"/>
  <c r="AK9" i="22"/>
  <c r="N9" i="22"/>
  <c r="Z9" i="22"/>
  <c r="AL9" i="22"/>
  <c r="R10" i="22"/>
  <c r="AD10" i="22"/>
  <c r="S10" i="22"/>
  <c r="AE10" i="22"/>
  <c r="AE11" i="22" s="1"/>
  <c r="L9" i="22"/>
  <c r="L11" i="22" s="1"/>
  <c r="AJ9" i="22"/>
  <c r="AJ11" i="22" s="1"/>
  <c r="P10" i="22"/>
  <c r="AA9" i="22"/>
  <c r="P9" i="22"/>
  <c r="AB9" i="22"/>
  <c r="H10" i="22"/>
  <c r="T10" i="22"/>
  <c r="T11" i="22" s="1"/>
  <c r="AF10" i="22"/>
  <c r="AF11" i="22" s="1"/>
  <c r="X9" i="22"/>
  <c r="X11" i="22" s="1"/>
  <c r="AB10" i="22"/>
  <c r="Y9" i="22"/>
  <c r="O9" i="22"/>
  <c r="O11" i="22" s="1"/>
  <c r="Q9" i="22"/>
  <c r="Q11" i="22" s="1"/>
  <c r="AC9" i="22"/>
  <c r="I10" i="22"/>
  <c r="U10" i="22"/>
  <c r="AG10" i="22"/>
  <c r="Q10" i="22"/>
  <c r="R9" i="22"/>
  <c r="AD9" i="22"/>
  <c r="J10" i="22"/>
  <c r="V10" i="22"/>
  <c r="AH10" i="22"/>
  <c r="S9" i="22"/>
  <c r="K10" i="22"/>
  <c r="W10" i="22"/>
  <c r="T9" i="21"/>
  <c r="L10" i="21"/>
  <c r="X10" i="21"/>
  <c r="I9" i="21"/>
  <c r="U9" i="21"/>
  <c r="AG9" i="21"/>
  <c r="M10" i="21"/>
  <c r="Y10" i="21"/>
  <c r="AK10" i="21"/>
  <c r="H9" i="21"/>
  <c r="H11" i="21" s="1"/>
  <c r="AF9" i="21"/>
  <c r="AJ10" i="21"/>
  <c r="J9" i="21"/>
  <c r="V9" i="21"/>
  <c r="AH9" i="21"/>
  <c r="N10" i="21"/>
  <c r="Z10" i="21"/>
  <c r="AL10" i="21"/>
  <c r="O9" i="21"/>
  <c r="K9" i="21"/>
  <c r="W9" i="21"/>
  <c r="AI9" i="21"/>
  <c r="AI11" i="21" s="1"/>
  <c r="O10" i="21"/>
  <c r="AA10" i="21"/>
  <c r="L9" i="21"/>
  <c r="X9" i="21"/>
  <c r="AJ9" i="21"/>
  <c r="P10" i="21"/>
  <c r="AB10" i="21"/>
  <c r="M9" i="21"/>
  <c r="Y9" i="21"/>
  <c r="AK9" i="21"/>
  <c r="Q10" i="21"/>
  <c r="AC10" i="21"/>
  <c r="N9" i="21"/>
  <c r="Z9" i="21"/>
  <c r="AL9" i="21"/>
  <c r="R10" i="21"/>
  <c r="AD10" i="21"/>
  <c r="S10" i="21"/>
  <c r="AE10" i="21"/>
  <c r="AE11" i="21" s="1"/>
  <c r="P9" i="21"/>
  <c r="P11" i="21" s="1"/>
  <c r="H10" i="21"/>
  <c r="AF10" i="21"/>
  <c r="Q9" i="21"/>
  <c r="Q11" i="21" s="1"/>
  <c r="AC9" i="21"/>
  <c r="AC11" i="21" s="1"/>
  <c r="I10" i="21"/>
  <c r="U10" i="21"/>
  <c r="AG10" i="21"/>
  <c r="AA9" i="21"/>
  <c r="AB9" i="21"/>
  <c r="T10" i="21"/>
  <c r="R9" i="21"/>
  <c r="R11" i="21" s="1"/>
  <c r="AD9" i="21"/>
  <c r="J10" i="21"/>
  <c r="V10" i="21"/>
  <c r="AH10" i="21"/>
  <c r="S9" i="21"/>
  <c r="K10" i="21"/>
  <c r="W10" i="21"/>
  <c r="L10" i="20"/>
  <c r="I9" i="20"/>
  <c r="I11" i="20" s="1"/>
  <c r="U9" i="20"/>
  <c r="AG9" i="20"/>
  <c r="M10" i="20"/>
  <c r="Y10" i="20"/>
  <c r="AK10" i="20"/>
  <c r="J9" i="20"/>
  <c r="J11" i="20" s="1"/>
  <c r="V9" i="20"/>
  <c r="AH9" i="20"/>
  <c r="AH11" i="20" s="1"/>
  <c r="N10" i="20"/>
  <c r="Z10" i="20"/>
  <c r="AL10" i="20"/>
  <c r="T9" i="20"/>
  <c r="AJ10" i="20"/>
  <c r="K9" i="20"/>
  <c r="O10" i="20"/>
  <c r="L9" i="20"/>
  <c r="L11" i="20" s="1"/>
  <c r="X9" i="20"/>
  <c r="AJ9" i="20"/>
  <c r="P10" i="20"/>
  <c r="AB10" i="20"/>
  <c r="H9" i="20"/>
  <c r="H11" i="20" s="1"/>
  <c r="M9" i="20"/>
  <c r="Y9" i="20"/>
  <c r="AK9" i="20"/>
  <c r="AK11" i="20" s="1"/>
  <c r="Q10" i="20"/>
  <c r="AC10" i="20"/>
  <c r="W9" i="20"/>
  <c r="AI9" i="20"/>
  <c r="AI11" i="20" s="1"/>
  <c r="AA10" i="20"/>
  <c r="N9" i="20"/>
  <c r="Z9" i="20"/>
  <c r="AL9" i="20"/>
  <c r="AL11" i="20" s="1"/>
  <c r="R10" i="20"/>
  <c r="AD10" i="20"/>
  <c r="S10" i="20"/>
  <c r="AE10" i="20"/>
  <c r="AE11" i="20" s="1"/>
  <c r="AF9" i="20"/>
  <c r="AA9" i="20"/>
  <c r="P9" i="20"/>
  <c r="AB9" i="20"/>
  <c r="H10" i="20"/>
  <c r="T10" i="20"/>
  <c r="AF10" i="20"/>
  <c r="O9" i="20"/>
  <c r="O11" i="20" s="1"/>
  <c r="Q9" i="20"/>
  <c r="AC9" i="20"/>
  <c r="I10" i="20"/>
  <c r="U10" i="20"/>
  <c r="AG10" i="20"/>
  <c r="X10" i="20"/>
  <c r="R9" i="20"/>
  <c r="AD9" i="20"/>
  <c r="J10" i="20"/>
  <c r="V10" i="20"/>
  <c r="AH10" i="20"/>
  <c r="S9" i="20"/>
  <c r="S11" i="20" s="1"/>
  <c r="K10" i="20"/>
  <c r="W10" i="20"/>
  <c r="K9" i="19"/>
  <c r="W9" i="19"/>
  <c r="AI9" i="19"/>
  <c r="N10" i="19"/>
  <c r="Z10" i="19"/>
  <c r="AL10" i="19"/>
  <c r="L9" i="19"/>
  <c r="X9" i="19"/>
  <c r="X11" i="19" s="1"/>
  <c r="AJ9" i="19"/>
  <c r="O10" i="19"/>
  <c r="AA10" i="19"/>
  <c r="M9" i="19"/>
  <c r="N9" i="19"/>
  <c r="Z9" i="19"/>
  <c r="AL9" i="19"/>
  <c r="Q10" i="19"/>
  <c r="AC10" i="19"/>
  <c r="O9" i="19"/>
  <c r="AA9" i="19"/>
  <c r="R10" i="19"/>
  <c r="AD10" i="19"/>
  <c r="P9" i="19"/>
  <c r="P11" i="19" s="1"/>
  <c r="S10" i="19"/>
  <c r="Q9" i="19"/>
  <c r="AC9" i="19"/>
  <c r="H10" i="19"/>
  <c r="T10" i="19"/>
  <c r="AF10" i="19"/>
  <c r="R9" i="19"/>
  <c r="AD9" i="19"/>
  <c r="I10" i="19"/>
  <c r="U10" i="19"/>
  <c r="AG10" i="19"/>
  <c r="S9" i="19"/>
  <c r="AE9" i="19"/>
  <c r="AE11" i="19" s="1"/>
  <c r="J10" i="19"/>
  <c r="V10" i="19"/>
  <c r="AH10" i="19"/>
  <c r="AH11" i="19" s="1"/>
  <c r="P10" i="19"/>
  <c r="AB9" i="19"/>
  <c r="AE10" i="19"/>
  <c r="H9" i="19"/>
  <c r="T9" i="19"/>
  <c r="T11" i="19" s="1"/>
  <c r="AF9" i="19"/>
  <c r="AF11" i="19" s="1"/>
  <c r="K10" i="19"/>
  <c r="W10" i="19"/>
  <c r="AI10" i="19"/>
  <c r="Y9" i="19"/>
  <c r="AB10" i="19"/>
  <c r="I9" i="19"/>
  <c r="U9" i="19"/>
  <c r="AG9" i="19"/>
  <c r="L10" i="19"/>
  <c r="X10" i="19"/>
  <c r="AJ10" i="19"/>
  <c r="AK9" i="19"/>
  <c r="AK11" i="19" s="1"/>
  <c r="J9" i="19"/>
  <c r="V9" i="19"/>
  <c r="V11" i="19" s="1"/>
  <c r="M10" i="19"/>
  <c r="Y10" i="19"/>
  <c r="K8" i="18"/>
  <c r="O8" i="18"/>
  <c r="S8" i="18"/>
  <c r="S10" i="18" s="1"/>
  <c r="W8" i="18"/>
  <c r="AA8" i="18"/>
  <c r="AE8" i="18"/>
  <c r="AI8" i="18"/>
  <c r="AI10" i="18" s="1"/>
  <c r="H8" i="18"/>
  <c r="L8" i="18"/>
  <c r="P8" i="18"/>
  <c r="T8" i="18"/>
  <c r="X8" i="18"/>
  <c r="AB8" i="18"/>
  <c r="AF8" i="18"/>
  <c r="AJ8" i="18"/>
  <c r="H9" i="18"/>
  <c r="L9" i="18"/>
  <c r="P9" i="18"/>
  <c r="T9" i="18"/>
  <c r="X9" i="18"/>
  <c r="AB9" i="18"/>
  <c r="AF9" i="18"/>
  <c r="AJ9" i="18"/>
  <c r="I8" i="18"/>
  <c r="M8" i="18"/>
  <c r="Q8" i="18"/>
  <c r="U8" i="18"/>
  <c r="Y8" i="18"/>
  <c r="AC8" i="18"/>
  <c r="AG8" i="18"/>
  <c r="AK8" i="18"/>
  <c r="I9" i="18"/>
  <c r="M9" i="18"/>
  <c r="Q9" i="18"/>
  <c r="U9" i="18"/>
  <c r="Y9" i="18"/>
  <c r="AC9" i="18"/>
  <c r="AG9" i="18"/>
  <c r="AK9" i="18"/>
  <c r="J8" i="18"/>
  <c r="N8" i="18"/>
  <c r="R8" i="18"/>
  <c r="V8" i="18"/>
  <c r="V10" i="18" s="1"/>
  <c r="Z8" i="18"/>
  <c r="AD8" i="18"/>
  <c r="AH8" i="18"/>
  <c r="AH10" i="18" s="1"/>
  <c r="J9" i="18"/>
  <c r="N9" i="18"/>
  <c r="R9" i="18"/>
  <c r="V9" i="18"/>
  <c r="Z9" i="18"/>
  <c r="AD9" i="18"/>
  <c r="AH9" i="18"/>
  <c r="AL9" i="18"/>
  <c r="AL10" i="18" s="1"/>
  <c r="K9" i="18"/>
  <c r="O9" i="18"/>
  <c r="S9" i="18"/>
  <c r="W9" i="18"/>
  <c r="AA9" i="18"/>
  <c r="AE9" i="18"/>
  <c r="AE8" i="16"/>
  <c r="H8" i="16"/>
  <c r="T8" i="16"/>
  <c r="AF8" i="16"/>
  <c r="L9" i="16"/>
  <c r="X9" i="16"/>
  <c r="AJ9" i="16"/>
  <c r="S8" i="16"/>
  <c r="AI9" i="16"/>
  <c r="I8" i="16"/>
  <c r="U8" i="16"/>
  <c r="AG8" i="16"/>
  <c r="M9" i="16"/>
  <c r="Y9" i="16"/>
  <c r="AK9" i="16"/>
  <c r="K9" i="16"/>
  <c r="W9" i="16"/>
  <c r="J8" i="16"/>
  <c r="V8" i="16"/>
  <c r="AH8" i="16"/>
  <c r="AH10" i="16" s="1"/>
  <c r="N9" i="16"/>
  <c r="Z9" i="16"/>
  <c r="AL9" i="16"/>
  <c r="K8" i="16"/>
  <c r="W8" i="16"/>
  <c r="AI8" i="16"/>
  <c r="O9" i="16"/>
  <c r="AA9" i="16"/>
  <c r="O8" i="16"/>
  <c r="L8" i="16"/>
  <c r="X8" i="16"/>
  <c r="X10" i="16" s="1"/>
  <c r="AJ8" i="16"/>
  <c r="AJ10" i="16" s="1"/>
  <c r="P9" i="16"/>
  <c r="AB9" i="16"/>
  <c r="M8" i="16"/>
  <c r="M10" i="16" s="1"/>
  <c r="Y8" i="16"/>
  <c r="AK8" i="16"/>
  <c r="Q9" i="16"/>
  <c r="AC9" i="16"/>
  <c r="N8" i="16"/>
  <c r="Z8" i="16"/>
  <c r="AL8" i="16"/>
  <c r="R9" i="16"/>
  <c r="AD9" i="16"/>
  <c r="AD10" i="16" s="1"/>
  <c r="P8" i="16"/>
  <c r="P10" i="16" s="1"/>
  <c r="AB8" i="16"/>
  <c r="H9" i="16"/>
  <c r="T9" i="16"/>
  <c r="AF9" i="16"/>
  <c r="AE9" i="16"/>
  <c r="Q8" i="16"/>
  <c r="Q10" i="16" s="1"/>
  <c r="AC8" i="16"/>
  <c r="I9" i="16"/>
  <c r="U9" i="16"/>
  <c r="AG9" i="16"/>
  <c r="AA8" i="16"/>
  <c r="S9" i="16"/>
  <c r="R8" i="16"/>
  <c r="J9" i="16"/>
  <c r="V9" i="16"/>
  <c r="H8" i="15"/>
  <c r="T8" i="15"/>
  <c r="AF8" i="15"/>
  <c r="L9" i="15"/>
  <c r="X9" i="15"/>
  <c r="AJ9" i="15"/>
  <c r="I8" i="15"/>
  <c r="U8" i="15"/>
  <c r="AG8" i="15"/>
  <c r="M9" i="15"/>
  <c r="Y9" i="15"/>
  <c r="AK9" i="15"/>
  <c r="V8" i="15"/>
  <c r="N9" i="15"/>
  <c r="K8" i="15"/>
  <c r="W8" i="15"/>
  <c r="AI8" i="15"/>
  <c r="AI10" i="15" s="1"/>
  <c r="O9" i="15"/>
  <c r="AA9" i="15"/>
  <c r="L8" i="15"/>
  <c r="L10" i="15" s="1"/>
  <c r="X8" i="15"/>
  <c r="X10" i="15" s="1"/>
  <c r="AJ8" i="15"/>
  <c r="AJ10" i="15" s="1"/>
  <c r="P9" i="15"/>
  <c r="AB9" i="15"/>
  <c r="M8" i="15"/>
  <c r="AK8" i="15"/>
  <c r="N8" i="15"/>
  <c r="Z8" i="15"/>
  <c r="AL8" i="15"/>
  <c r="R9" i="15"/>
  <c r="AD9" i="15"/>
  <c r="S9" i="15"/>
  <c r="AE9" i="15"/>
  <c r="AE10" i="15" s="1"/>
  <c r="AH8" i="15"/>
  <c r="AL9" i="15"/>
  <c r="Y8" i="15"/>
  <c r="AA8" i="15"/>
  <c r="P8" i="15"/>
  <c r="AB8" i="15"/>
  <c r="H9" i="15"/>
  <c r="T9" i="15"/>
  <c r="AF9" i="15"/>
  <c r="AC9" i="15"/>
  <c r="O8" i="15"/>
  <c r="O10" i="15" s="1"/>
  <c r="Q8" i="15"/>
  <c r="AC8" i="15"/>
  <c r="I9" i="15"/>
  <c r="U9" i="15"/>
  <c r="AG9" i="15"/>
  <c r="J8" i="15"/>
  <c r="Z9" i="15"/>
  <c r="Q9" i="15"/>
  <c r="R8" i="15"/>
  <c r="AD8" i="15"/>
  <c r="J9" i="15"/>
  <c r="V9" i="15"/>
  <c r="AH9" i="15"/>
  <c r="S8" i="15"/>
  <c r="K9" i="15"/>
  <c r="W9" i="15"/>
  <c r="M9" i="13"/>
  <c r="Y9" i="13"/>
  <c r="AK9" i="13"/>
  <c r="P10" i="13"/>
  <c r="AB10" i="13"/>
  <c r="AN10" i="13"/>
  <c r="N9" i="13"/>
  <c r="Z9" i="13"/>
  <c r="AL9" i="13"/>
  <c r="Q10" i="13"/>
  <c r="AC10" i="13"/>
  <c r="AO10" i="13"/>
  <c r="O9" i="13"/>
  <c r="AA9" i="13"/>
  <c r="AM9" i="13"/>
  <c r="AM11" i="13" s="1"/>
  <c r="R10" i="13"/>
  <c r="AD10" i="13"/>
  <c r="P9" i="13"/>
  <c r="AB9" i="13"/>
  <c r="AN9" i="13"/>
  <c r="AN11" i="13" s="1"/>
  <c r="S10" i="13"/>
  <c r="AE10" i="13"/>
  <c r="Q9" i="13"/>
  <c r="AC9" i="13"/>
  <c r="AO9" i="13"/>
  <c r="T10" i="13"/>
  <c r="AF10" i="13"/>
  <c r="U10" i="13"/>
  <c r="AG10" i="13"/>
  <c r="V10" i="13"/>
  <c r="AH10" i="13"/>
  <c r="R9" i="13"/>
  <c r="AE9" i="13"/>
  <c r="T9" i="13"/>
  <c r="AF9" i="13"/>
  <c r="K10" i="13"/>
  <c r="W10" i="13"/>
  <c r="AI10" i="13"/>
  <c r="AD9" i="13"/>
  <c r="S9" i="13"/>
  <c r="U9" i="13"/>
  <c r="AG9" i="13"/>
  <c r="AG11" i="13" s="1"/>
  <c r="L10" i="13"/>
  <c r="X10" i="13"/>
  <c r="AJ10" i="13"/>
  <c r="AJ11" i="13" s="1"/>
  <c r="V9" i="13"/>
  <c r="V11" i="13" s="1"/>
  <c r="AH9" i="13"/>
  <c r="AH11" i="13" s="1"/>
  <c r="M10" i="13"/>
  <c r="Y10" i="13"/>
  <c r="AK10" i="13"/>
  <c r="K9" i="13"/>
  <c r="W9" i="13"/>
  <c r="AI9" i="13"/>
  <c r="N10" i="13"/>
  <c r="Z10" i="13"/>
  <c r="AL10" i="13"/>
  <c r="L9" i="13"/>
  <c r="L11" i="13" s="1"/>
  <c r="X9" i="13"/>
  <c r="X11" i="13" s="1"/>
  <c r="O10" i="13"/>
  <c r="AA10" i="13"/>
  <c r="AN10" i="12"/>
  <c r="AO10" i="12"/>
  <c r="M9" i="12"/>
  <c r="Y9" i="12"/>
  <c r="AK9" i="12"/>
  <c r="P10" i="12"/>
  <c r="AB10" i="12"/>
  <c r="N9" i="12"/>
  <c r="N11" i="12" s="1"/>
  <c r="Z9" i="12"/>
  <c r="Z11" i="12" s="1"/>
  <c r="AL9" i="12"/>
  <c r="AL11" i="12" s="1"/>
  <c r="Q10" i="12"/>
  <c r="AC10" i="12"/>
  <c r="O9" i="12"/>
  <c r="AA9" i="12"/>
  <c r="AM9" i="12"/>
  <c r="AM11" i="12" s="1"/>
  <c r="R10" i="12"/>
  <c r="AD10" i="12"/>
  <c r="AE10" i="12"/>
  <c r="AF10" i="12"/>
  <c r="U10" i="12"/>
  <c r="AG10" i="12"/>
  <c r="V10" i="12"/>
  <c r="AH10" i="12"/>
  <c r="AI10" i="12"/>
  <c r="AB9" i="12"/>
  <c r="S10" i="12"/>
  <c r="Q9" i="12"/>
  <c r="AO9" i="12"/>
  <c r="AO11" i="12" s="1"/>
  <c r="AD9" i="12"/>
  <c r="AD11" i="12" s="1"/>
  <c r="S9" i="12"/>
  <c r="S11" i="12" s="1"/>
  <c r="AE9" i="12"/>
  <c r="AE11" i="12" s="1"/>
  <c r="T9" i="12"/>
  <c r="T11" i="12" s="1"/>
  <c r="AF9" i="12"/>
  <c r="AF11" i="12" s="1"/>
  <c r="K10" i="12"/>
  <c r="W10" i="12"/>
  <c r="U9" i="12"/>
  <c r="AG9" i="12"/>
  <c r="L10" i="12"/>
  <c r="X10" i="12"/>
  <c r="AJ10" i="12"/>
  <c r="AJ11" i="12" s="1"/>
  <c r="V9" i="12"/>
  <c r="AH9" i="12"/>
  <c r="M10" i="12"/>
  <c r="Y10" i="12"/>
  <c r="AK10" i="12"/>
  <c r="P9" i="12"/>
  <c r="P11" i="12" s="1"/>
  <c r="AN9" i="12"/>
  <c r="AN11" i="12" s="1"/>
  <c r="AC9" i="12"/>
  <c r="AC11" i="12" s="1"/>
  <c r="T10" i="12"/>
  <c r="R9" i="12"/>
  <c r="K9" i="12"/>
  <c r="W9" i="12"/>
  <c r="AI9" i="12"/>
  <c r="N10" i="12"/>
  <c r="Z10" i="12"/>
  <c r="AL10" i="12"/>
  <c r="L9" i="12"/>
  <c r="L11" i="12" s="1"/>
  <c r="X9" i="12"/>
  <c r="X11" i="12" s="1"/>
  <c r="O10" i="12"/>
  <c r="AA10" i="12"/>
  <c r="V9" i="11"/>
  <c r="AH9" i="11"/>
  <c r="M10" i="11"/>
  <c r="Y10" i="11"/>
  <c r="AK10" i="11"/>
  <c r="W9" i="11"/>
  <c r="M9" i="11"/>
  <c r="Y9" i="11"/>
  <c r="Y11" i="11" s="1"/>
  <c r="AK9" i="11"/>
  <c r="AK11" i="11" s="1"/>
  <c r="P10" i="11"/>
  <c r="AB10" i="11"/>
  <c r="AN10" i="11"/>
  <c r="AN11" i="11" s="1"/>
  <c r="AH10" i="11"/>
  <c r="L9" i="11"/>
  <c r="X9" i="11"/>
  <c r="AJ9" i="11"/>
  <c r="O10" i="11"/>
  <c r="AA10" i="11"/>
  <c r="AM10" i="11"/>
  <c r="N9" i="11"/>
  <c r="N11" i="11" s="1"/>
  <c r="Z9" i="11"/>
  <c r="AL9" i="11"/>
  <c r="AL11" i="11" s="1"/>
  <c r="Q10" i="11"/>
  <c r="AC10" i="11"/>
  <c r="AO10" i="11"/>
  <c r="R9" i="11"/>
  <c r="AD9" i="11"/>
  <c r="Q9" i="11"/>
  <c r="AC9" i="11"/>
  <c r="AO9" i="11"/>
  <c r="AO11" i="11" s="1"/>
  <c r="T10" i="11"/>
  <c r="AF10" i="11"/>
  <c r="U10" i="11"/>
  <c r="AG10" i="11"/>
  <c r="S9" i="11"/>
  <c r="AE9" i="11"/>
  <c r="AE11" i="11" s="1"/>
  <c r="V10" i="11"/>
  <c r="T9" i="11"/>
  <c r="AF9" i="11"/>
  <c r="K10" i="11"/>
  <c r="W10" i="11"/>
  <c r="AI10" i="11"/>
  <c r="U9" i="11"/>
  <c r="AG9" i="11"/>
  <c r="L10" i="11"/>
  <c r="X10" i="11"/>
  <c r="AJ10" i="11"/>
  <c r="K9" i="11"/>
  <c r="AI9" i="11"/>
  <c r="N10" i="11"/>
  <c r="Z10" i="11"/>
  <c r="AL10" i="11"/>
  <c r="O9" i="11"/>
  <c r="O11" i="11" s="1"/>
  <c r="AA9" i="11"/>
  <c r="AM9" i="11"/>
  <c r="AM11" i="11" s="1"/>
  <c r="R10" i="11"/>
  <c r="AD10" i="11"/>
  <c r="P9" i="11"/>
  <c r="P11" i="11" s="1"/>
  <c r="AB9" i="11"/>
  <c r="AB11" i="11" s="1"/>
  <c r="S10" i="11"/>
  <c r="E38" i="10"/>
  <c r="D38" i="10"/>
  <c r="C38" i="10"/>
  <c r="K10" i="10" a="1"/>
  <c r="AH10" i="10" s="1"/>
  <c r="K9" i="10" a="1"/>
  <c r="AO9" i="10" s="1"/>
  <c r="H7" i="10"/>
  <c r="AH124" i="9"/>
  <c r="AG124" i="9"/>
  <c r="AF124" i="9"/>
  <c r="AE124" i="9"/>
  <c r="AD124" i="9"/>
  <c r="AC124" i="9"/>
  <c r="AB124" i="9"/>
  <c r="AA124" i="9"/>
  <c r="Z124" i="9"/>
  <c r="Y124" i="9"/>
  <c r="X124" i="9"/>
  <c r="W124" i="9"/>
  <c r="V124" i="9"/>
  <c r="U124" i="9"/>
  <c r="T124" i="9"/>
  <c r="S124" i="9"/>
  <c r="R124" i="9"/>
  <c r="Q124" i="9"/>
  <c r="P124" i="9"/>
  <c r="O124" i="9"/>
  <c r="N124" i="9"/>
  <c r="M124" i="9"/>
  <c r="L124" i="9"/>
  <c r="K124" i="9"/>
  <c r="J124" i="9"/>
  <c r="I124" i="9"/>
  <c r="H124" i="9"/>
  <c r="G124" i="9"/>
  <c r="F124" i="9"/>
  <c r="E124" i="9"/>
  <c r="D124" i="9"/>
  <c r="AI124" i="9" s="1"/>
  <c r="AI121" i="9"/>
  <c r="AI120" i="9"/>
  <c r="AI119" i="9"/>
  <c r="AI118" i="9"/>
  <c r="AI117" i="9"/>
  <c r="AI116" i="9"/>
  <c r="AI115" i="9"/>
  <c r="AI114" i="9"/>
  <c r="AI113" i="9"/>
  <c r="AI112" i="9"/>
  <c r="AJ112" i="9" s="1"/>
  <c r="AI111" i="9"/>
  <c r="AI110" i="9"/>
  <c r="AI109" i="9"/>
  <c r="AI108" i="9"/>
  <c r="AI107" i="9"/>
  <c r="AI106" i="9"/>
  <c r="AI105" i="9"/>
  <c r="AI104" i="9"/>
  <c r="AI103" i="9"/>
  <c r="AI102" i="9"/>
  <c r="AI101" i="9"/>
  <c r="AI100" i="9"/>
  <c r="AI99" i="9"/>
  <c r="AI98" i="9"/>
  <c r="AI97" i="9"/>
  <c r="AI96" i="9"/>
  <c r="AI95" i="9"/>
  <c r="AI94" i="9"/>
  <c r="AI93" i="9"/>
  <c r="AI92" i="9"/>
  <c r="AI91" i="9"/>
  <c r="AI90" i="9"/>
  <c r="AI89" i="9"/>
  <c r="AI88" i="9"/>
  <c r="AJ88" i="9" s="1"/>
  <c r="AI87" i="9"/>
  <c r="AI86" i="9"/>
  <c r="AI85" i="9"/>
  <c r="AI84" i="9"/>
  <c r="AI83" i="9"/>
  <c r="AI82" i="9"/>
  <c r="AI81" i="9"/>
  <c r="AI80" i="9"/>
  <c r="AI79" i="9"/>
  <c r="AI78" i="9"/>
  <c r="AI77" i="9"/>
  <c r="AI76" i="9"/>
  <c r="AJ76" i="9" s="1"/>
  <c r="AI75" i="9"/>
  <c r="AI74" i="9"/>
  <c r="AI73" i="9"/>
  <c r="AI72" i="9"/>
  <c r="AI71" i="9"/>
  <c r="AI70" i="9"/>
  <c r="AI69" i="9"/>
  <c r="AI68" i="9"/>
  <c r="AI67" i="9"/>
  <c r="AI66" i="9"/>
  <c r="AI65" i="9"/>
  <c r="AI64" i="9"/>
  <c r="AJ64" i="9" s="1"/>
  <c r="AI63" i="9"/>
  <c r="AI62" i="9"/>
  <c r="AI61" i="9"/>
  <c r="AI60" i="9"/>
  <c r="AI59" i="9"/>
  <c r="AI58" i="9"/>
  <c r="AI57" i="9"/>
  <c r="AI56" i="9"/>
  <c r="AI55" i="9"/>
  <c r="AI54" i="9"/>
  <c r="AI53" i="9"/>
  <c r="AI52" i="9"/>
  <c r="AJ52" i="9" s="1"/>
  <c r="AI51" i="9"/>
  <c r="AI50" i="9"/>
  <c r="AI49" i="9"/>
  <c r="AI48" i="9"/>
  <c r="AI47" i="9"/>
  <c r="AI46" i="9"/>
  <c r="AI45" i="9"/>
  <c r="AI44" i="9"/>
  <c r="AI43" i="9"/>
  <c r="AI42" i="9"/>
  <c r="AI41" i="9"/>
  <c r="AJ40" i="9"/>
  <c r="AI40" i="9"/>
  <c r="AI39" i="9"/>
  <c r="AI38" i="9"/>
  <c r="AI37" i="9"/>
  <c r="AI36" i="9"/>
  <c r="AI35" i="9"/>
  <c r="AI34" i="9"/>
  <c r="AI33" i="9"/>
  <c r="AI32" i="9"/>
  <c r="AI31" i="9"/>
  <c r="AI30" i="9"/>
  <c r="AI29" i="9"/>
  <c r="AI28" i="9"/>
  <c r="AJ28" i="9" s="1"/>
  <c r="AI27" i="9"/>
  <c r="AI26" i="9"/>
  <c r="AI25" i="9"/>
  <c r="AI24" i="9"/>
  <c r="AI23" i="9"/>
  <c r="AI22" i="9"/>
  <c r="AI21" i="9"/>
  <c r="AI20" i="9"/>
  <c r="AI19" i="9"/>
  <c r="AI18" i="9"/>
  <c r="AI17" i="9"/>
  <c r="AI16" i="9"/>
  <c r="AJ16" i="9" s="1"/>
  <c r="AI15" i="9"/>
  <c r="AI14" i="9"/>
  <c r="AI13" i="9"/>
  <c r="AI12" i="9"/>
  <c r="AI11" i="9"/>
  <c r="AI10" i="9"/>
  <c r="AI9" i="9"/>
  <c r="AI8" i="9"/>
  <c r="AI7" i="9"/>
  <c r="AI6" i="9"/>
  <c r="AI5" i="9"/>
  <c r="AI4" i="9"/>
  <c r="AJ4" i="9" s="1"/>
  <c r="AJ11" i="23" l="1"/>
  <c r="X11" i="23"/>
  <c r="Z11" i="23"/>
  <c r="N11" i="23"/>
  <c r="AK11" i="23"/>
  <c r="AB11" i="23"/>
  <c r="O11" i="23"/>
  <c r="AG11" i="23"/>
  <c r="S11" i="23"/>
  <c r="U11" i="23"/>
  <c r="AF11" i="23"/>
  <c r="W11" i="23"/>
  <c r="T11" i="23"/>
  <c r="P11" i="23"/>
  <c r="AH11" i="23"/>
  <c r="R11" i="23"/>
  <c r="K11" i="23"/>
  <c r="V11" i="23"/>
  <c r="J11" i="23"/>
  <c r="H11" i="23"/>
  <c r="I11" i="23"/>
  <c r="AD11" i="23"/>
  <c r="S11" i="22"/>
  <c r="AD11" i="22"/>
  <c r="AB11" i="22"/>
  <c r="N11" i="22"/>
  <c r="P11" i="22"/>
  <c r="AK11" i="22"/>
  <c r="V11" i="22"/>
  <c r="AA11" i="22"/>
  <c r="J11" i="22"/>
  <c r="M11" i="22"/>
  <c r="L11" i="21"/>
  <c r="N11" i="21"/>
  <c r="S11" i="21"/>
  <c r="AG11" i="21"/>
  <c r="Y11" i="22"/>
  <c r="W11" i="22"/>
  <c r="U11" i="22"/>
  <c r="K11" i="22"/>
  <c r="I11" i="22"/>
  <c r="R11" i="22"/>
  <c r="AL11" i="22"/>
  <c r="AC11" i="22"/>
  <c r="Z11" i="22"/>
  <c r="AH11" i="22"/>
  <c r="AF11" i="21"/>
  <c r="W11" i="21"/>
  <c r="Y11" i="21"/>
  <c r="AD11" i="21"/>
  <c r="U11" i="21"/>
  <c r="AJ11" i="21"/>
  <c r="X11" i="21"/>
  <c r="AA11" i="21"/>
  <c r="AK11" i="21"/>
  <c r="K11" i="21"/>
  <c r="M11" i="21"/>
  <c r="I11" i="21"/>
  <c r="O11" i="21"/>
  <c r="AB11" i="21"/>
  <c r="AH11" i="21"/>
  <c r="V11" i="21"/>
  <c r="AL11" i="21"/>
  <c r="J11" i="21"/>
  <c r="T11" i="21"/>
  <c r="Z11" i="21"/>
  <c r="AD11" i="20"/>
  <c r="AA11" i="20"/>
  <c r="Q11" i="20"/>
  <c r="Z11" i="20"/>
  <c r="AJ11" i="20"/>
  <c r="W11" i="20"/>
  <c r="AG11" i="20"/>
  <c r="V11" i="20"/>
  <c r="N11" i="20"/>
  <c r="X11" i="20"/>
  <c r="AB11" i="20"/>
  <c r="R11" i="20"/>
  <c r="P11" i="20"/>
  <c r="K11" i="20"/>
  <c r="AF11" i="20"/>
  <c r="U11" i="20"/>
  <c r="T11" i="20"/>
  <c r="Y11" i="20"/>
  <c r="AC11" i="20"/>
  <c r="M11" i="20"/>
  <c r="AJ11" i="19"/>
  <c r="AB11" i="19"/>
  <c r="J11" i="19"/>
  <c r="O11" i="19"/>
  <c r="S11" i="19"/>
  <c r="AA11" i="19"/>
  <c r="L11" i="19"/>
  <c r="R11" i="19"/>
  <c r="AG11" i="19"/>
  <c r="H11" i="19"/>
  <c r="U11" i="19"/>
  <c r="AL11" i="19"/>
  <c r="AI11" i="19"/>
  <c r="I11" i="19"/>
  <c r="Z11" i="19"/>
  <c r="W11" i="19"/>
  <c r="AD11" i="19"/>
  <c r="AC11" i="19"/>
  <c r="N11" i="19"/>
  <c r="K11" i="19"/>
  <c r="Y11" i="19"/>
  <c r="Q11" i="19"/>
  <c r="M11" i="19"/>
  <c r="R10" i="18"/>
  <c r="Z10" i="18"/>
  <c r="J10" i="18"/>
  <c r="W10" i="18"/>
  <c r="Y10" i="18"/>
  <c r="I10" i="18"/>
  <c r="X10" i="18"/>
  <c r="H10" i="18"/>
  <c r="AK10" i="18"/>
  <c r="U10" i="18"/>
  <c r="AJ10" i="18"/>
  <c r="T10" i="18"/>
  <c r="AG10" i="18"/>
  <c r="Q10" i="18"/>
  <c r="AF10" i="18"/>
  <c r="P10" i="18"/>
  <c r="AE10" i="18"/>
  <c r="O10" i="18"/>
  <c r="AD10" i="18"/>
  <c r="N10" i="18"/>
  <c r="AC10" i="18"/>
  <c r="M10" i="18"/>
  <c r="AB10" i="18"/>
  <c r="L10" i="18"/>
  <c r="AA10" i="18"/>
  <c r="K10" i="18"/>
  <c r="AA10" i="16"/>
  <c r="L10" i="16"/>
  <c r="AF10" i="16"/>
  <c r="U10" i="16"/>
  <c r="I10" i="16"/>
  <c r="R10" i="16"/>
  <c r="S10" i="16"/>
  <c r="V10" i="16"/>
  <c r="T10" i="16"/>
  <c r="AB10" i="16"/>
  <c r="J10" i="16"/>
  <c r="AL10" i="16"/>
  <c r="Z10" i="16"/>
  <c r="O10" i="16"/>
  <c r="AC10" i="16"/>
  <c r="N10" i="16"/>
  <c r="AI10" i="16"/>
  <c r="H10" i="16"/>
  <c r="AK10" i="16"/>
  <c r="W10" i="16"/>
  <c r="AE10" i="16"/>
  <c r="Y10" i="16"/>
  <c r="K10" i="16"/>
  <c r="AG10" i="16"/>
  <c r="Q10" i="15"/>
  <c r="AC10" i="15"/>
  <c r="AG10" i="15"/>
  <c r="R10" i="15"/>
  <c r="N10" i="15"/>
  <c r="U10" i="15"/>
  <c r="AD10" i="15"/>
  <c r="W10" i="15"/>
  <c r="AB10" i="15"/>
  <c r="AK10" i="15"/>
  <c r="S10" i="15"/>
  <c r="AH10" i="15"/>
  <c r="I10" i="15"/>
  <c r="AL10" i="15"/>
  <c r="Z10" i="15"/>
  <c r="K10" i="15"/>
  <c r="AF10" i="15"/>
  <c r="J10" i="15"/>
  <c r="P10" i="15"/>
  <c r="T10" i="15"/>
  <c r="AA10" i="15"/>
  <c r="M10" i="15"/>
  <c r="V10" i="15"/>
  <c r="H10" i="15"/>
  <c r="Y10" i="15"/>
  <c r="AF11" i="13"/>
  <c r="Q11" i="13"/>
  <c r="AB11" i="13"/>
  <c r="P11" i="13"/>
  <c r="R11" i="13"/>
  <c r="U11" i="13"/>
  <c r="AE11" i="13"/>
  <c r="N11" i="13"/>
  <c r="K11" i="13"/>
  <c r="AD11" i="13"/>
  <c r="AA11" i="13"/>
  <c r="Y11" i="13"/>
  <c r="AO11" i="13"/>
  <c r="M11" i="13"/>
  <c r="T11" i="13"/>
  <c r="AL11" i="13"/>
  <c r="Z11" i="13"/>
  <c r="AI11" i="13"/>
  <c r="W11" i="13"/>
  <c r="S11" i="13"/>
  <c r="AK11" i="13"/>
  <c r="O11" i="13"/>
  <c r="AC11" i="13"/>
  <c r="AI11" i="12"/>
  <c r="AH11" i="12"/>
  <c r="AK11" i="12"/>
  <c r="V11" i="12"/>
  <c r="W11" i="12"/>
  <c r="Y11" i="12"/>
  <c r="K11" i="12"/>
  <c r="Q11" i="12"/>
  <c r="M11" i="12"/>
  <c r="R11" i="12"/>
  <c r="AA11" i="12"/>
  <c r="AG11" i="12"/>
  <c r="AB11" i="12"/>
  <c r="O11" i="12"/>
  <c r="U11" i="12"/>
  <c r="Z11" i="11"/>
  <c r="M11" i="11"/>
  <c r="AA11" i="11"/>
  <c r="AC11" i="11"/>
  <c r="S11" i="11"/>
  <c r="U11" i="11"/>
  <c r="W11" i="11"/>
  <c r="AJ11" i="11"/>
  <c r="X11" i="11"/>
  <c r="Q11" i="11"/>
  <c r="AF11" i="11"/>
  <c r="AD11" i="11"/>
  <c r="T11" i="11"/>
  <c r="R11" i="11"/>
  <c r="L11" i="11"/>
  <c r="AH11" i="11"/>
  <c r="V11" i="11"/>
  <c r="AG11" i="11"/>
  <c r="AI11" i="11"/>
  <c r="K11" i="11"/>
  <c r="R9" i="10"/>
  <c r="AD9" i="10"/>
  <c r="V10" i="10"/>
  <c r="S9" i="10"/>
  <c r="AE9" i="10"/>
  <c r="K10" i="10"/>
  <c r="W10" i="10"/>
  <c r="AI10" i="10"/>
  <c r="T9" i="10"/>
  <c r="AF9" i="10"/>
  <c r="L10" i="10"/>
  <c r="X10" i="10"/>
  <c r="AJ10" i="10"/>
  <c r="U9" i="10"/>
  <c r="AG9" i="10"/>
  <c r="M10" i="10"/>
  <c r="Y10" i="10"/>
  <c r="AK10" i="10"/>
  <c r="V9" i="10"/>
  <c r="AH9" i="10"/>
  <c r="N10" i="10"/>
  <c r="Z10" i="10"/>
  <c r="AL10" i="10"/>
  <c r="K9" i="10"/>
  <c r="W9" i="10"/>
  <c r="AI9" i="10"/>
  <c r="O10" i="10"/>
  <c r="AA10" i="10"/>
  <c r="AM10" i="10"/>
  <c r="L9" i="10"/>
  <c r="X9" i="10"/>
  <c r="AJ9" i="10"/>
  <c r="P10" i="10"/>
  <c r="AB10" i="10"/>
  <c r="AN10" i="10"/>
  <c r="M9" i="10"/>
  <c r="Y9" i="10"/>
  <c r="AK9" i="10"/>
  <c r="Q10" i="10"/>
  <c r="AC10" i="10"/>
  <c r="AO10" i="10"/>
  <c r="N9" i="10"/>
  <c r="Z9" i="10"/>
  <c r="AL9" i="10"/>
  <c r="R10" i="10"/>
  <c r="AD10" i="10"/>
  <c r="O9" i="10"/>
  <c r="AA9" i="10"/>
  <c r="AM9" i="10"/>
  <c r="S10" i="10"/>
  <c r="AE10" i="10"/>
  <c r="AF10" i="10"/>
  <c r="P9" i="10"/>
  <c r="AB9" i="10"/>
  <c r="AN9" i="10"/>
  <c r="T10" i="10"/>
  <c r="Q9" i="10"/>
  <c r="AC9" i="10"/>
  <c r="U10" i="10"/>
  <c r="AG10" i="10"/>
  <c r="AJ100" i="9"/>
  <c r="AP9" i="10" l="1"/>
  <c r="E38" i="8" l="1"/>
  <c r="D38" i="8"/>
  <c r="C38" i="8"/>
  <c r="K10" i="8" a="1"/>
  <c r="AE10" i="8" s="1"/>
  <c r="K9" i="8" a="1"/>
  <c r="AD9" i="8" s="1"/>
  <c r="H7" i="8"/>
  <c r="J8" i="7"/>
  <c r="C16" i="7"/>
  <c r="G8" i="7"/>
  <c r="F8" i="7"/>
  <c r="F6" i="7"/>
  <c r="I12" i="7"/>
  <c r="I10" i="7"/>
  <c r="I8" i="7"/>
  <c r="I6" i="7"/>
  <c r="AI122" i="2"/>
  <c r="E38" i="6"/>
  <c r="D38" i="6"/>
  <c r="C38" i="6"/>
  <c r="K10" i="6" a="1"/>
  <c r="AG10" i="6" s="1"/>
  <c r="K9" i="6" a="1"/>
  <c r="AO9" i="6" s="1"/>
  <c r="H7" i="6"/>
  <c r="E38" i="5"/>
  <c r="D38" i="5"/>
  <c r="C38" i="5"/>
  <c r="K10" i="5" a="1"/>
  <c r="AH10" i="5" s="1"/>
  <c r="K9" i="5" a="1"/>
  <c r="AD9" i="5" s="1"/>
  <c r="H7" i="5"/>
  <c r="K11" i="3" a="1"/>
  <c r="K11" i="3" s="1"/>
  <c r="K10" i="3" a="1"/>
  <c r="K10" i="3" s="1"/>
  <c r="K9" i="3" a="1"/>
  <c r="K9" i="3" s="1"/>
  <c r="D39" i="4"/>
  <c r="C39" i="4"/>
  <c r="E39" i="4" s="1"/>
  <c r="K28" i="4" s="1"/>
  <c r="E38" i="4"/>
  <c r="E37" i="4"/>
  <c r="E36" i="4"/>
  <c r="E35" i="4"/>
  <c r="E34" i="4"/>
  <c r="H33" i="4"/>
  <c r="E33" i="4"/>
  <c r="E32" i="4"/>
  <c r="E31" i="4"/>
  <c r="E30" i="4"/>
  <c r="E29" i="4"/>
  <c r="E28" i="4"/>
  <c r="E27" i="4"/>
  <c r="H26" i="4"/>
  <c r="E26" i="4"/>
  <c r="E25" i="4"/>
  <c r="E24" i="4"/>
  <c r="E23" i="4"/>
  <c r="E22" i="4"/>
  <c r="E21" i="4"/>
  <c r="Z20" i="4"/>
  <c r="K20" i="4"/>
  <c r="E20" i="4"/>
  <c r="E19" i="4"/>
  <c r="H18" i="4"/>
  <c r="E18" i="4"/>
  <c r="E17" i="4"/>
  <c r="E16" i="4"/>
  <c r="E15" i="4"/>
  <c r="E14" i="4"/>
  <c r="AM13" i="4"/>
  <c r="AL13" i="4"/>
  <c r="AK13" i="4"/>
  <c r="AJ13" i="4"/>
  <c r="AF13" i="4"/>
  <c r="AA13" i="4"/>
  <c r="Z13" i="4"/>
  <c r="Y13" i="4"/>
  <c r="X13" i="4"/>
  <c r="T13" i="4"/>
  <c r="O13" i="4"/>
  <c r="N13" i="4"/>
  <c r="M13" i="4"/>
  <c r="L13" i="4"/>
  <c r="E13" i="4"/>
  <c r="AO12" i="4"/>
  <c r="AO13" i="4" s="1"/>
  <c r="AN12" i="4"/>
  <c r="AN13" i="4" s="1"/>
  <c r="AM12" i="4"/>
  <c r="AL12" i="4"/>
  <c r="AK12" i="4"/>
  <c r="AJ12" i="4"/>
  <c r="AI12" i="4"/>
  <c r="AI13" i="4" s="1"/>
  <c r="AH12" i="4"/>
  <c r="AH13" i="4" s="1"/>
  <c r="AG12" i="4"/>
  <c r="AG13" i="4" s="1"/>
  <c r="AF12" i="4"/>
  <c r="AE12" i="4"/>
  <c r="AE13" i="4" s="1"/>
  <c r="AD12" i="4"/>
  <c r="AD13" i="4" s="1"/>
  <c r="AC12" i="4"/>
  <c r="AC13" i="4" s="1"/>
  <c r="AB12" i="4"/>
  <c r="AB13" i="4" s="1"/>
  <c r="AA12" i="4"/>
  <c r="Z12" i="4"/>
  <c r="Y12" i="4"/>
  <c r="X12" i="4"/>
  <c r="W12" i="4"/>
  <c r="W13" i="4" s="1"/>
  <c r="V12" i="4"/>
  <c r="V13" i="4" s="1"/>
  <c r="U12" i="4"/>
  <c r="U13" i="4" s="1"/>
  <c r="T12" i="4"/>
  <c r="S12" i="4"/>
  <c r="S13" i="4" s="1"/>
  <c r="R12" i="4"/>
  <c r="R13" i="4" s="1"/>
  <c r="Q12" i="4"/>
  <c r="Q13" i="4" s="1"/>
  <c r="P12" i="4"/>
  <c r="P13" i="4" s="1"/>
  <c r="O12" i="4"/>
  <c r="N12" i="4"/>
  <c r="M12" i="4"/>
  <c r="L12" i="4"/>
  <c r="K12" i="4"/>
  <c r="K13" i="4" s="1"/>
  <c r="E12" i="4"/>
  <c r="E11" i="4"/>
  <c r="E10" i="4"/>
  <c r="E9" i="4"/>
  <c r="E8" i="4"/>
  <c r="E38" i="3"/>
  <c r="D38" i="3"/>
  <c r="C38" i="3"/>
  <c r="H7" i="3"/>
  <c r="C14" i="1" l="1"/>
  <c r="V10" i="8"/>
  <c r="AH10" i="8"/>
  <c r="S9" i="8"/>
  <c r="AE9" i="8"/>
  <c r="K10" i="8"/>
  <c r="W10" i="8"/>
  <c r="AI10" i="8"/>
  <c r="R9" i="8"/>
  <c r="T9" i="8"/>
  <c r="AF9" i="8"/>
  <c r="L10" i="8"/>
  <c r="X10" i="8"/>
  <c r="AJ10" i="8"/>
  <c r="AN9" i="8"/>
  <c r="AC9" i="8"/>
  <c r="AG9" i="8"/>
  <c r="M10" i="8"/>
  <c r="Y10" i="8"/>
  <c r="AK10" i="8"/>
  <c r="V9" i="8"/>
  <c r="AH9" i="8"/>
  <c r="N10" i="8"/>
  <c r="Z10" i="8"/>
  <c r="AL10" i="8"/>
  <c r="P9" i="8"/>
  <c r="T10" i="8"/>
  <c r="AO9" i="8"/>
  <c r="AM10" i="8"/>
  <c r="P10" i="8"/>
  <c r="AN10" i="8"/>
  <c r="M9" i="8"/>
  <c r="Y9" i="8"/>
  <c r="AK9" i="8"/>
  <c r="Q10" i="8"/>
  <c r="AC10" i="8"/>
  <c r="AO10" i="8"/>
  <c r="AG10" i="8"/>
  <c r="AD10" i="8"/>
  <c r="AB9" i="8"/>
  <c r="AF10" i="8"/>
  <c r="Q9" i="8"/>
  <c r="U10" i="8"/>
  <c r="U9" i="8"/>
  <c r="K9" i="8"/>
  <c r="W9" i="8"/>
  <c r="AI9" i="8"/>
  <c r="O10" i="8"/>
  <c r="AA10" i="8"/>
  <c r="L9" i="8"/>
  <c r="X9" i="8"/>
  <c r="AJ9" i="8"/>
  <c r="AB10" i="8"/>
  <c r="N9" i="8"/>
  <c r="Z9" i="8"/>
  <c r="AL9" i="8"/>
  <c r="R10" i="8"/>
  <c r="O9" i="8"/>
  <c r="AA9" i="8"/>
  <c r="AM9" i="8"/>
  <c r="S10" i="8"/>
  <c r="J10" i="7"/>
  <c r="J12" i="7"/>
  <c r="V10" i="6"/>
  <c r="AH10" i="6"/>
  <c r="S9" i="6"/>
  <c r="AE9" i="6"/>
  <c r="K10" i="6"/>
  <c r="W10" i="6"/>
  <c r="AI10" i="6"/>
  <c r="AJ10" i="6"/>
  <c r="U9" i="6"/>
  <c r="AG9" i="6"/>
  <c r="M10" i="6"/>
  <c r="Y10" i="6"/>
  <c r="AK10" i="6"/>
  <c r="AL10" i="6"/>
  <c r="V9" i="6"/>
  <c r="AH9" i="6"/>
  <c r="N10" i="6"/>
  <c r="Z10" i="6"/>
  <c r="K9" i="6"/>
  <c r="W9" i="6"/>
  <c r="AI9" i="6"/>
  <c r="O10" i="6"/>
  <c r="AA10" i="6"/>
  <c r="AM10" i="6"/>
  <c r="T9" i="6"/>
  <c r="X10" i="6"/>
  <c r="L9" i="6"/>
  <c r="P10" i="6"/>
  <c r="AB10" i="6"/>
  <c r="AN10" i="6"/>
  <c r="AO10" i="6"/>
  <c r="M9" i="6"/>
  <c r="Y9" i="6"/>
  <c r="AK9" i="6"/>
  <c r="Q10" i="6"/>
  <c r="AC10" i="6"/>
  <c r="N9" i="6"/>
  <c r="Z9" i="6"/>
  <c r="AL9" i="6"/>
  <c r="R10" i="6"/>
  <c r="AD10" i="6"/>
  <c r="X9" i="6"/>
  <c r="O9" i="6"/>
  <c r="AA9" i="6"/>
  <c r="AM9" i="6"/>
  <c r="S10" i="6"/>
  <c r="AE10" i="6"/>
  <c r="P9" i="6"/>
  <c r="AB9" i="6"/>
  <c r="AN9" i="6"/>
  <c r="T10" i="6"/>
  <c r="AF10" i="6"/>
  <c r="R9" i="6"/>
  <c r="AD9" i="6"/>
  <c r="AF9" i="6"/>
  <c r="L10" i="6"/>
  <c r="AJ9" i="6"/>
  <c r="Q9" i="6"/>
  <c r="AC9" i="6"/>
  <c r="U10" i="6"/>
  <c r="K10" i="5"/>
  <c r="W10" i="5"/>
  <c r="X10" i="5"/>
  <c r="AI10" i="5"/>
  <c r="Z10" i="5"/>
  <c r="K9" i="5"/>
  <c r="AI9" i="5"/>
  <c r="O10" i="5"/>
  <c r="L9" i="5"/>
  <c r="X9" i="5"/>
  <c r="AJ9" i="5"/>
  <c r="P10" i="5"/>
  <c r="AB10" i="5"/>
  <c r="AN10" i="5"/>
  <c r="AF9" i="5"/>
  <c r="AG9" i="5"/>
  <c r="AK10" i="5"/>
  <c r="S9" i="5"/>
  <c r="N10" i="5"/>
  <c r="AM10" i="5"/>
  <c r="AK9" i="5"/>
  <c r="AO10" i="5"/>
  <c r="N9" i="5"/>
  <c r="Z9" i="5"/>
  <c r="AL9" i="5"/>
  <c r="R10" i="5"/>
  <c r="AD10" i="5"/>
  <c r="L10" i="5"/>
  <c r="AJ10" i="5"/>
  <c r="M10" i="5"/>
  <c r="AH9" i="5"/>
  <c r="W9" i="5"/>
  <c r="O9" i="5"/>
  <c r="AA9" i="5"/>
  <c r="AM9" i="5"/>
  <c r="S10" i="5"/>
  <c r="AE10" i="5"/>
  <c r="AE9" i="5"/>
  <c r="T9" i="5"/>
  <c r="U9" i="5"/>
  <c r="Y10" i="5"/>
  <c r="V9" i="5"/>
  <c r="AL10" i="5"/>
  <c r="AA10" i="5"/>
  <c r="M9" i="5"/>
  <c r="Q10" i="5"/>
  <c r="P9" i="5"/>
  <c r="AB9" i="5"/>
  <c r="AN9" i="5"/>
  <c r="T10" i="5"/>
  <c r="AF10" i="5"/>
  <c r="Y9" i="5"/>
  <c r="AC10" i="5"/>
  <c r="Q9" i="5"/>
  <c r="AC9" i="5"/>
  <c r="AO9" i="5"/>
  <c r="U10" i="5"/>
  <c r="AG10" i="5"/>
  <c r="R9" i="5"/>
  <c r="V10" i="5"/>
  <c r="AH11" i="3"/>
  <c r="U11" i="3"/>
  <c r="AF11" i="3"/>
  <c r="AE11" i="3"/>
  <c r="AD11" i="3"/>
  <c r="AC11" i="3"/>
  <c r="AN11" i="3"/>
  <c r="P11" i="3"/>
  <c r="AM11" i="3"/>
  <c r="AA11" i="3"/>
  <c r="O11" i="3"/>
  <c r="S11" i="3"/>
  <c r="V11" i="3"/>
  <c r="AG11" i="3"/>
  <c r="T11" i="3"/>
  <c r="R11" i="3"/>
  <c r="AO11" i="3"/>
  <c r="Q11" i="3"/>
  <c r="AB11" i="3"/>
  <c r="AL11" i="3"/>
  <c r="Z11" i="3"/>
  <c r="N11" i="3"/>
  <c r="AK11" i="3"/>
  <c r="Y11" i="3"/>
  <c r="M11" i="3"/>
  <c r="AJ11" i="3"/>
  <c r="X11" i="3"/>
  <c r="L11" i="3"/>
  <c r="AI11" i="3"/>
  <c r="W11" i="3"/>
  <c r="V10" i="3"/>
  <c r="U10" i="3"/>
  <c r="AF10" i="3"/>
  <c r="AE10" i="3"/>
  <c r="AO10" i="3"/>
  <c r="Q10" i="3"/>
  <c r="AN10" i="3"/>
  <c r="AB10" i="3"/>
  <c r="P10" i="3"/>
  <c r="AM10" i="3"/>
  <c r="AA10" i="3"/>
  <c r="O10" i="3"/>
  <c r="AL10" i="3"/>
  <c r="Z10" i="3"/>
  <c r="N10" i="3"/>
  <c r="AD10" i="3"/>
  <c r="AJ10" i="3"/>
  <c r="L10" i="3"/>
  <c r="AH10" i="3"/>
  <c r="AG10" i="3"/>
  <c r="T10" i="3"/>
  <c r="S10" i="3"/>
  <c r="R10" i="3"/>
  <c r="AC10" i="3"/>
  <c r="AK10" i="3"/>
  <c r="Y10" i="3"/>
  <c r="M10" i="3"/>
  <c r="X10" i="3"/>
  <c r="AI10" i="3"/>
  <c r="W10" i="3"/>
  <c r="V9" i="3"/>
  <c r="U9" i="3"/>
  <c r="AE9" i="3"/>
  <c r="R9" i="3"/>
  <c r="AC9" i="3"/>
  <c r="P9" i="3"/>
  <c r="AM9" i="3"/>
  <c r="AA9" i="3"/>
  <c r="O9" i="3"/>
  <c r="AL9" i="3"/>
  <c r="Z9" i="3"/>
  <c r="N9" i="3"/>
  <c r="T9" i="3"/>
  <c r="S9" i="3"/>
  <c r="AO9" i="3"/>
  <c r="AN9" i="3"/>
  <c r="M9" i="3"/>
  <c r="AJ9" i="3"/>
  <c r="X9" i="3"/>
  <c r="L9" i="3"/>
  <c r="AH9" i="3"/>
  <c r="AG9" i="3"/>
  <c r="AF9" i="3"/>
  <c r="AD9" i="3"/>
  <c r="Q9" i="3"/>
  <c r="AB9" i="3"/>
  <c r="AK9" i="3"/>
  <c r="Y9" i="3"/>
  <c r="AI9" i="3"/>
  <c r="W9" i="3"/>
  <c r="AI6" i="2"/>
  <c r="AI7"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101" i="2"/>
  <c r="AI102" i="2"/>
  <c r="AI103" i="2"/>
  <c r="AI104" i="2"/>
  <c r="AI105" i="2"/>
  <c r="AI106" i="2"/>
  <c r="AI107" i="2"/>
  <c r="AI108" i="2"/>
  <c r="AI109" i="2"/>
  <c r="AI110" i="2"/>
  <c r="AI111" i="2"/>
  <c r="AI112" i="2"/>
  <c r="AI113" i="2"/>
  <c r="AI114" i="2"/>
  <c r="AI115" i="2"/>
  <c r="AI116" i="2"/>
  <c r="AI117" i="2"/>
  <c r="AI118" i="2"/>
  <c r="AI119" i="2"/>
  <c r="AI120" i="2"/>
  <c r="AI121" i="2"/>
  <c r="AI5" i="2"/>
  <c r="C32" i="1"/>
  <c r="C31" i="1"/>
  <c r="C30" i="1"/>
  <c r="C29" i="1"/>
  <c r="C28" i="1"/>
  <c r="C27" i="1"/>
  <c r="C26" i="1"/>
  <c r="C25" i="1"/>
  <c r="C24" i="1"/>
  <c r="C23" i="1"/>
  <c r="C22" i="1"/>
  <c r="C13" i="1"/>
  <c r="C12" i="1"/>
  <c r="C11" i="1"/>
  <c r="C10" i="1"/>
  <c r="C9" i="1"/>
  <c r="C8" i="1"/>
  <c r="C7" i="1"/>
  <c r="C6" i="1"/>
  <c r="C5" i="1"/>
  <c r="C4" i="1"/>
  <c r="AJ113" i="2" l="1"/>
  <c r="AJ101" i="2"/>
  <c r="AJ89" i="2"/>
  <c r="AJ77" i="2"/>
  <c r="AJ53" i="2"/>
  <c r="AJ41" i="2"/>
  <c r="AJ29" i="2"/>
  <c r="AJ17" i="2"/>
  <c r="AJ65" i="2"/>
  <c r="AJ5" i="2"/>
  <c r="D13" i="1" s="1"/>
  <c r="D14" i="1"/>
  <c r="E14" i="1"/>
  <c r="AP9" i="8"/>
  <c r="AP9" i="6"/>
  <c r="AP9" i="5"/>
  <c r="AP9" i="3"/>
  <c r="E13" i="1"/>
  <c r="E27" i="1"/>
  <c r="D30" i="1"/>
  <c r="E5" i="1"/>
  <c r="D5" i="1"/>
  <c r="D27" i="1"/>
  <c r="D9" i="1"/>
  <c r="D26" i="1"/>
  <c r="D8" i="1"/>
  <c r="E24" i="1"/>
  <c r="E6" i="1"/>
  <c r="D28" i="1"/>
  <c r="D10" i="1"/>
  <c r="D7" i="1"/>
  <c r="E30" i="1"/>
  <c r="D12" i="1"/>
  <c r="D25" i="1"/>
  <c r="E29" i="1"/>
  <c r="D11" i="1"/>
  <c r="D6" i="1"/>
  <c r="D29" i="1"/>
  <c r="D31" i="1"/>
  <c r="E11" i="1"/>
  <c r="E28" i="1"/>
  <c r="E12" i="1"/>
  <c r="E10" i="1"/>
  <c r="E9" i="1"/>
  <c r="E8" i="1"/>
  <c r="E7" i="1"/>
  <c r="E26" i="1"/>
  <c r="D24" i="1"/>
  <c r="E25" i="1"/>
  <c r="E3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tc={44C845B6-AB21-47C8-BCFF-84634A83FB2E}</author>
  </authors>
  <commentList>
    <comment ref="AJ124" authorId="0" shapeId="0" xr:uid="{44C845B6-AB21-47C8-BCFF-84634A83FB2E}">
      <text>
        <t>[Comentario encadenado]
Su versión de Excel le permite leer este comentario encadenado; sin embargo, las ediciones que se apliquen se quitarán si el archivo se abre en una versión más reciente de Excel. Más información: https://go.microsoft.com/fwlink/?linkid=870924
Comentario:
    37 = 2 x (9 Ave + 2 Avlo + 2 Alvia + 2 Ouigo + 2 Iryo) + 3 AVANT (Murcia-Alicante)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Ureña Marcos, Raúl</author>
  </authors>
  <commentList>
    <comment ref="E3" authorId="0" shapeId="0" xr:uid="{37E15790-ABA4-4347-A10B-175B5782AA33}">
      <text>
        <r>
          <rPr>
            <sz val="11"/>
            <color theme="1"/>
            <rFont val="Calibri"/>
            <family val="2"/>
            <scheme val="minor"/>
          </rPr>
          <t>6906 Vs 9602 trenes</t>
        </r>
      </text>
    </comment>
    <comment ref="H3" authorId="0" shapeId="0" xr:uid="{87B898D6-F0D7-4B21-B8F3-8925CACB4E50}">
      <text>
        <r>
          <rPr>
            <sz val="11"/>
            <color theme="1"/>
            <rFont val="Calibri"/>
            <family val="2"/>
            <scheme val="minor"/>
          </rPr>
          <t xml:space="preserve">
8548 Vs 9602 trenes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tc={9017534F-72E5-4E25-A81F-3A60A839DA74}</author>
    <author>tc={9585BA52-D47A-474B-84F8-76475794F8BC}</author>
    <author>tc={F93906B1-D5E2-4093-B7D7-023D916EDDFF}</author>
    <author>tc={23CE0B34-A8E9-49BA-B1C1-63C2F998182C}</author>
    <author>tc={59A9BB9F-F95A-426B-9CC9-BB0FECE54CD1}</author>
    <author>tc={3BEA5B2D-CECA-4B14-8103-4E5BD51F76EF}</author>
  </authors>
  <commentList>
    <comment ref="U86" authorId="0" shapeId="0" xr:uid="{9017534F-72E5-4E25-A81F-3A60A839DA74}">
      <text>
        <t>[Comentario encadenado]
Su versión de Excel le permite leer este comentario encadenado; sin embargo, las ediciones que se apliquen se quitarán si el archivo se abre en una versión más reciente de Excel. Más información: https://go.microsoft.com/fwlink/?linkid=870924
Comentario:
    Inicio Restricciones COVID</t>
      </text>
    </comment>
    <comment ref="L96" authorId="1" shapeId="0" xr:uid="{9585BA52-D47A-474B-84F8-76475794F8BC}">
      <text>
        <t>[Comentario encadenado]
Su versión de Excel le permite leer este comentario encadenado; sin embargo, las ediciones que se apliquen se quitarán si el archivo se abre en una versión más reciente de Excel. Más información: https://go.microsoft.com/fwlink/?linkid=870924
Comentario:
    Filomena</t>
      </text>
    </comment>
    <comment ref="W119" authorId="2" shapeId="0" xr:uid="{F93906B1-D5E2-4093-B7D7-023D916EDDFF}">
      <text>
        <t>[Comentario encadenado]
Su versión de Excel le permite leer este comentario encadenado; sin embargo, las ediciones que se apliquen se quitarán si el archivo se abre en una versión más reciente de Excel. Más información: https://go.microsoft.com/fwlink/?linkid=870924
Comentario:
    AVANT MURCIA</t>
      </text>
    </comment>
    <comment ref="AD122" authorId="3" shapeId="0" xr:uid="{23CE0B34-A8E9-49BA-B1C1-63C2F998182C}">
      <text>
        <t>[Comentario encadenado]
Su versión de Excel le permite leer este comentario encadenado; sin embargo, las ediciones que se apliquen se quitarán si el archivo se abre en una versión más reciente de Excel. Más información: https://go.microsoft.com/fwlink/?linkid=870924
Comentario:
    Inicio Circulaciones AVLO</t>
      </text>
    </comment>
    <comment ref="AD123" authorId="4" shapeId="0" xr:uid="{59A9BB9F-F95A-426B-9CC9-BB0FECE54CD1}">
      <text>
        <t>[Comentario encadenado]
Su versión de Excel le permite leer este comentario encadenado; sin embargo, las ediciones que se apliquen se quitarán si el archivo se abre en una versión más reciente de Excel. Más información: https://go.microsoft.com/fwlink/?linkid=870924
Comentario:
    Inicio Circulaciones OUIGO</t>
      </text>
    </comment>
    <comment ref="E125" authorId="5" shapeId="0" xr:uid="{3BEA5B2D-CECA-4B14-8103-4E5BD51F76EF}">
      <text>
        <t>[Comentario encadenado]
Su versión de Excel le permite leer este comentario encadenado; sin embargo, las ediciones que se apliquen se quitarán si el archivo se abre en una versión más reciente de Excel. Más información: https://go.microsoft.com/fwlink/?linkid=870924
Comentario:
    Inicio Circulaciones IRYO</t>
      </text>
    </comment>
  </commentList>
</comments>
</file>

<file path=xl/sharedStrings.xml><?xml version="1.0" encoding="utf-8"?>
<sst xmlns="http://schemas.openxmlformats.org/spreadsheetml/2006/main" count="866" uniqueCount="112">
  <si>
    <t>AÑO
CONTRATO</t>
  </si>
  <si>
    <t>MES</t>
  </si>
  <si>
    <t>Nº TRENES / DIA</t>
  </si>
  <si>
    <t>TOTAL</t>
  </si>
  <si>
    <t>Previsión</t>
  </si>
  <si>
    <t>DATOS FACILITADOS POR CIRCULACIÓN</t>
  </si>
  <si>
    <t>DATOS PARA SEGUIMIENTO DE CONTRATOS</t>
  </si>
  <si>
    <t>ALBALI</t>
  </si>
  <si>
    <t xml:space="preserve">UTE SALAVE </t>
  </si>
  <si>
    <t>BIF ALBACETE - ALACANT</t>
  </si>
  <si>
    <t>DÍA</t>
  </si>
  <si>
    <t>ALIMUR</t>
  </si>
  <si>
    <t>Día</t>
  </si>
  <si>
    <t>ENVIAR CORREO A UTE SALAVE</t>
  </si>
  <si>
    <t>HOJA CÁCULO ÍNDICES CPP - AÑO 12</t>
  </si>
  <si>
    <t>CIRCULACIONES DIARIAS ALBACETE-ALICANTE</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</si>
  <si>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</si>
  <si>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</si>
  <si>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</si>
  <si>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</si>
  <si>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</si>
  <si>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</si>
  <si>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</si>
  <si>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</si>
  <si>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</si>
  <si>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</si>
  <si>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</si>
  <si>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</si>
  <si>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</si>
  <si>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</si>
  <si>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</si>
  <si>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</si>
  <si>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</si>
  <si>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</si>
  <si>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</si>
  <si>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</si>
  <si>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</si>
  <si>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</si>
  <si>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</si>
  <si>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</si>
  <si>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</si>
  <si>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</si>
  <si>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</si>
  <si>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</si>
  <si>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</si>
  <si>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</si>
  <si>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</si>
  <si>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HISTÓRICO CIRCULACIONES ANUAL ALBALI</t>
  </si>
  <si>
    <t>AÑO</t>
  </si>
  <si>
    <t>CIRCULACIONES</t>
  </si>
  <si>
    <t xml:space="preserve">   ∆ % año 1</t>
  </si>
  <si>
    <t>∆ % año anterior</t>
  </si>
  <si>
    <t>COMENTARIOS</t>
  </si>
  <si>
    <t>Año1</t>
  </si>
  <si>
    <t>-</t>
  </si>
  <si>
    <t>Año2</t>
  </si>
  <si>
    <t>Año3</t>
  </si>
  <si>
    <t>Año4</t>
  </si>
  <si>
    <t>Año5</t>
  </si>
  <si>
    <t>Año6</t>
  </si>
  <si>
    <t>Año7</t>
  </si>
  <si>
    <t>Año8</t>
  </si>
  <si>
    <t>PANDEMIA </t>
  </si>
  <si>
    <t>Año9</t>
  </si>
  <si>
    <t>Año10 **</t>
  </si>
  <si>
    <t>Comparado con 9 meses</t>
  </si>
  <si>
    <t>Año11</t>
  </si>
  <si>
    <t>Estimación Junio</t>
  </si>
  <si>
    <t xml:space="preserve">   ∆ % año 2014</t>
  </si>
  <si>
    <t>2013 *</t>
  </si>
  <si>
    <t>2023 **</t>
  </si>
  <si>
    <t>* de junio a diciembre de 2013</t>
  </si>
  <si>
    <t>** año incompleto</t>
  </si>
  <si>
    <t>AÑO 8</t>
  </si>
  <si>
    <t>AÑO 9</t>
  </si>
  <si>
    <t>Datos Tiempo</t>
  </si>
  <si>
    <t>indices</t>
  </si>
  <si>
    <t>Canon abonado</t>
  </si>
  <si>
    <t>Diferencia</t>
  </si>
  <si>
    <t>Comentario</t>
  </si>
  <si>
    <t>Tiempo real (57,4'), trenes real</t>
  </si>
  <si>
    <t>DO homogenizado</t>
  </si>
  <si>
    <t xml:space="preserve">CDC anual </t>
  </si>
  <si>
    <t>Estimado nuevo tiempo (49,5'), trenes real</t>
  </si>
  <si>
    <t>Tiempo real (57,4'), estimado nuevos trenes</t>
  </si>
  <si>
    <t>Estimado nuevo tiempo (49,5'), estimado nuevos trenes</t>
  </si>
  <si>
    <t>canon</t>
  </si>
  <si>
    <t>Conclusiones:
1º Cuanto mayor tiempo de tren, menos impacto tiene un retraso en el cálculo de la DO.
2º Cuanto  mayor número de trenes circulando, menor impacto tiene un retraso en el cálculo de la DO.
3º Cuanto  mayor número de trenes, mayor probabilidad de suceso de avería, aunque no sabemos cuantificar.</t>
  </si>
  <si>
    <t>DATOS FACILITADOS POR CRC ALBACETE</t>
  </si>
  <si>
    <t xml:space="preserve">      Tren
Día</t>
  </si>
  <si>
    <t>ALVIA</t>
  </si>
  <si>
    <t>AVE</t>
  </si>
  <si>
    <t>AVANT</t>
  </si>
  <si>
    <t>ago-24</t>
  </si>
  <si>
    <t>dic-24</t>
  </si>
  <si>
    <t>ene-25</t>
  </si>
  <si>
    <t>HISTÓRICO CIRCULACIONES ALBALI</t>
  </si>
  <si>
    <t>TOTAL 
AÑO</t>
  </si>
  <si>
    <t xml:space="preserve">TOTAL </t>
  </si>
  <si>
    <t>ALBACETE - ALACANT</t>
  </si>
  <si>
    <t>UTE SALAVE</t>
  </si>
  <si>
    <t>AVANT (MUR-ALI)</t>
  </si>
  <si>
    <t>AVANT (1:6)</t>
  </si>
  <si>
    <t>UTE MAVENTS</t>
  </si>
  <si>
    <t>Nº TRENES</t>
  </si>
  <si>
    <t>Madrid - Valencia</t>
  </si>
  <si>
    <t>Madrid - Alicante</t>
  </si>
  <si>
    <t>TELICE</t>
  </si>
  <si>
    <t>Albacete - Alicante</t>
  </si>
  <si>
    <t>UTE CHAMARTÍN-TORREJÓN</t>
  </si>
  <si>
    <t>TRENES</t>
  </si>
  <si>
    <t>abr-25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</si>
</sst>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 &quot;€&quot;"/>
    <numFmt numFmtId="165" formatCode="0.0000%"/>
    <numFmt numFmtId="166" formatCode="[$-C0A]mmmm\-yy;@"/>
  </numFmts>
  <fonts count="48" x14ac:knownFonts="1">
    <font>
      <sz val="11"/>
      <color theme="1"/>
      <name val="Calibri"/>
      <family val="2"/>
      <scheme val="minor"/>
    </font>
    <font>
      <sz val="11"/>
      <color theme="1"/>
      <name val="Calibri"/>
      <family val="2"/>
      <scheme val="minor"/>
    </font>
    <font>
      <sz val="10"/>
      <color theme="1"/>
      <name val="Times New Roman"/>
      <family val="1"/>
    </font>
    <font>
      <b/>
      <sz val="16"/>
      <color rgb="FF000000"/>
      <name val="Calibri"/>
      <family val="2"/>
    </font>
    <font>
      <b/>
      <sz val="11"/>
      <color rgb="FFFFFFFF"/>
      <name val="Calibri"/>
      <family val="2"/>
    </font>
    <font>
      <sz val="11"/>
      <color rgb="FF000000"/>
      <name val="Calibri"/>
      <family val="2"/>
    </font>
    <font>
      <sz val="8"/>
      <name val="Calibri"/>
      <family val="2"/>
      <scheme val="minor"/>
    </font>
    <font>
      <b/>
      <sz val="10"/>
      <name val="Arial"/>
      <family val="2"/>
    </font>
    <font>
      <sz val="10"/>
      <name val="Arial"/>
      <family val="2"/>
    </font>
    <font>
      <sz val="11"/>
      <color indexed="8"/>
      <name val="Calibri"/>
      <family val="2"/>
    </font>
    <font>
      <b/>
      <sz val="12"/>
      <color theme="1"/>
      <name val="Calibri"/>
      <family val="2"/>
      <scheme val="minor"/>
    </font>
    <font>
      <b/>
      <sz val="12"/>
      <color theme="0"/>
      <name val="Arial"/>
      <family val="2"/>
    </font>
    <font>
      <b/>
      <sz val="10"/>
      <color theme="0"/>
      <name val="Arial"/>
      <family val="2"/>
    </font>
    <font>
      <sz val="10"/>
      <name val="Arial"/>
      <family val="2"/>
    </font>
    <font>
      <b/>
      <sz val="16"/>
      <name val="Arial"/>
      <family val="2"/>
    </font>
    <font>
      <sz val="14"/>
      <name val="Arial"/>
      <family val="2"/>
    </font>
    <font>
      <b/>
      <sz val="18"/>
      <name val="Arial"/>
      <family val="2"/>
    </font>
    <font>
      <b/>
      <sz val="18"/>
      <name val="Calibri"/>
      <family val="2"/>
      <scheme val="minor"/>
    </font>
    <font>
      <b/>
      <sz val="11"/>
      <name val="Calibri"/>
      <family val="2"/>
      <scheme val="minor"/>
    </font>
    <font>
      <b/>
      <sz val="20"/>
      <name val="Arial"/>
      <family val="2"/>
    </font>
    <font>
      <b/>
      <sz val="11"/>
      <color indexed="9"/>
      <name val="Calibri"/>
      <family val="2"/>
      <scheme val="minor"/>
    </font>
    <font>
      <b/>
      <sz val="16"/>
      <color indexed="9"/>
      <name val="Calibri"/>
      <family val="2"/>
      <scheme val="minor"/>
    </font>
    <font>
      <b/>
      <sz val="14"/>
      <color indexed="9"/>
      <name val="Arial"/>
      <family val="2"/>
    </font>
    <font>
      <b/>
      <sz val="12"/>
      <name val="Arial"/>
      <family val="2"/>
    </font>
    <font>
      <b/>
      <sz val="14"/>
      <name val="Calibri"/>
      <family val="2"/>
      <scheme val="minor"/>
    </font>
    <font>
      <sz val="14"/>
      <name val="Calibri"/>
      <family val="2"/>
      <scheme val="minor"/>
    </font>
    <font>
      <b/>
      <sz val="18"/>
      <color rgb="FF000000"/>
      <name val="Arial"/>
      <family val="2"/>
    </font>
    <font>
      <b/>
      <sz val="10"/>
      <name val="Calibri"/>
      <family val="2"/>
      <scheme val="minor"/>
    </font>
    <font>
      <b/>
      <sz val="8"/>
      <color rgb="FF000000"/>
      <name val="Arial"/>
      <family val="2"/>
    </font>
    <font>
      <sz val="10"/>
      <name val="Calibri"/>
      <family val="2"/>
    </font>
    <font>
      <sz val="14"/>
      <color theme="0"/>
      <name val="Arial"/>
      <family val="2"/>
    </font>
    <font>
      <b/>
      <sz val="16"/>
      <color theme="1"/>
      <name val="Calibri"/>
      <family val="2"/>
      <scheme val="minor"/>
    </font>
    <font>
      <b/>
      <sz val="14"/>
      <name val="Arial"/>
      <family val="2"/>
    </font>
    <font>
      <sz val="11"/>
      <name val="Calibri"/>
      <family val="2"/>
    </font>
    <font>
      <b/>
      <sz val="12"/>
      <color rgb="FF000000"/>
      <name val="Calibri"/>
      <family val="2"/>
    </font>
    <font>
      <b/>
      <sz val="11"/>
      <color theme="1"/>
      <name val="Calibri"/>
      <family val="2"/>
      <scheme val="minor"/>
    </font>
    <font>
      <b/>
      <sz val="11"/>
      <color rgb="FFFFFFFF"/>
      <name val="Calibri"/>
      <family val="2"/>
      <scheme val="minor"/>
    </font>
    <font>
      <b/>
      <sz val="14"/>
      <color theme="1"/>
      <name val="Calibri"/>
      <family val="2"/>
      <scheme val="minor"/>
    </font>
    <font>
      <b/>
      <sz val="10"/>
      <color rgb="FF000000"/>
      <name val="Arial"/>
      <family val="2"/>
    </font>
    <font>
      <b/>
      <sz val="11"/>
      <color rgb="FF000000"/>
      <name val="Arial"/>
      <family val="2"/>
    </font>
    <font>
      <b/>
      <sz val="18"/>
      <color theme="0"/>
      <name val="Calibri"/>
      <family val="2"/>
      <scheme val="minor"/>
    </font>
    <font>
      <sz val="10"/>
      <name val="Arial"/>
      <family val="2"/>
    </font>
    <font>
      <b/>
      <sz val="26"/>
      <name val="Arial"/>
      <family val="2"/>
    </font>
    <font>
      <b/>
      <sz val="16"/>
      <name val="Calibri"/>
      <family val="2"/>
      <scheme val="minor"/>
    </font>
    <font>
      <b/>
      <sz val="28"/>
      <color theme="1"/>
      <name val="Calibri"/>
      <family val="2"/>
      <scheme val="minor"/>
    </font>
    <font>
      <b/>
      <sz val="22"/>
      <name val="Arial"/>
      <family val="2"/>
    </font>
    <font>
      <b/>
      <sz val="11"/>
      <name val="Arial"/>
      <family val="2"/>
    </font>
    <font>
      <b/>
      <sz val="9"/>
      <color theme="0"/>
      <name val="Arial"/>
      <family val="2"/>
    </font>
  </fonts>
  <fills count="38">
    <fill>
      <patternFill patternType="none"/>
    </fill>
    <fill>
      <patternFill patternType="gray125"/>
    </fill>
    <fill>
      <patternFill patternType="solid">
        <fgColor rgb="FF1F4E78"/>
        <bgColor indexed="64"/>
      </patternFill>
    </fill>
    <fill>
      <patternFill patternType="solid">
        <fgColor theme="8" tint="0.79998168889431442"/>
        <bgColor indexed="64"/>
      </patternFill>
    </fill>
    <fill>
      <patternFill patternType="solid">
        <fgColor theme="0"/>
        <bgColor indexed="64"/>
      </patternFill>
    </fill>
    <fill>
      <patternFill patternType="solid">
        <fgColor theme="0"/>
        <bgColor indexed="31"/>
      </patternFill>
    </fill>
    <fill>
      <patternFill patternType="solid">
        <fgColor rgb="FF002060"/>
        <bgColor rgb="FFFFFFCC"/>
      </patternFill>
    </fill>
    <fill>
      <patternFill patternType="solid">
        <fgColor theme="8" tint="0.79998168889431442"/>
        <bgColor rgb="FFFFFFCC"/>
      </patternFill>
    </fill>
    <fill>
      <patternFill patternType="solid">
        <fgColor theme="8" tint="-0.499984740745262"/>
        <bgColor rgb="FFFFFFCC"/>
      </patternFill>
    </fill>
    <fill>
      <patternFill patternType="solid">
        <fgColor theme="9" tint="0.39997558519241921"/>
        <bgColor indexed="64"/>
      </patternFill>
    </fill>
    <fill>
      <patternFill patternType="solid">
        <fgColor rgb="FF92D050"/>
        <bgColor indexed="64"/>
      </patternFill>
    </fill>
    <fill>
      <patternFill patternType="solid">
        <fgColor indexed="57"/>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rgb="FF00B050"/>
        <bgColor indexed="64"/>
      </patternFill>
    </fill>
    <fill>
      <patternFill patternType="solid">
        <fgColor indexed="50"/>
        <bgColor indexed="64"/>
      </patternFill>
    </fill>
    <fill>
      <patternFill patternType="solid">
        <fgColor theme="6" tint="0.39997558519241921"/>
        <bgColor indexed="64"/>
      </patternFill>
    </fill>
    <fill>
      <patternFill patternType="solid">
        <fgColor rgb="FFE7E6E6"/>
        <bgColor indexed="64"/>
      </patternFill>
    </fill>
    <fill>
      <patternFill patternType="solid">
        <fgColor rgb="FF548235"/>
        <bgColor indexed="64"/>
      </patternFill>
    </fill>
    <fill>
      <patternFill patternType="solid">
        <fgColor theme="4" tint="0.59999389629810485"/>
        <bgColor indexed="64"/>
      </patternFill>
    </fill>
    <fill>
      <patternFill patternType="solid">
        <fgColor rgb="FFFF0000"/>
        <bgColor indexed="64"/>
      </patternFill>
    </fill>
    <fill>
      <patternFill patternType="solid">
        <fgColor rgb="FFFBC6BB"/>
        <bgColor indexed="64"/>
      </patternFill>
    </fill>
    <fill>
      <patternFill patternType="solid">
        <fgColor theme="0" tint="-0.249977111117893"/>
        <bgColor indexed="64"/>
      </patternFill>
    </fill>
    <fill>
      <patternFill patternType="solid">
        <fgColor theme="0" tint="-0.249977111117893"/>
        <bgColor indexed="31"/>
      </patternFill>
    </fill>
    <fill>
      <patternFill patternType="solid">
        <fgColor rgb="FFF6856E"/>
        <bgColor indexed="64"/>
      </patternFill>
    </fill>
    <fill>
      <patternFill patternType="solid">
        <fgColor theme="4" tint="0.39997558519241921"/>
        <bgColor indexed="64"/>
      </patternFill>
    </fill>
    <fill>
      <patternFill patternType="solid">
        <fgColor theme="0"/>
        <bgColor rgb="FFFFFFCC"/>
      </patternFill>
    </fill>
    <fill>
      <patternFill patternType="solid">
        <fgColor rgb="FFBFBFBF"/>
        <bgColor indexed="64"/>
      </patternFill>
    </fill>
    <fill>
      <patternFill patternType="solid">
        <fgColor rgb="FFD1B2E8"/>
        <bgColor indexed="64"/>
      </patternFill>
    </fill>
    <fill>
      <patternFill patternType="solid">
        <fgColor rgb="FFFFFFFF"/>
        <bgColor indexed="64"/>
      </patternFill>
    </fill>
    <fill>
      <patternFill patternType="solid">
        <fgColor rgb="FFF9AC9D"/>
        <bgColor rgb="FFFFFFCC"/>
      </patternFill>
    </fill>
    <fill>
      <patternFill patternType="solid">
        <fgColor rgb="FFF9AC9D"/>
        <bgColor indexed="64"/>
      </patternFill>
    </fill>
    <fill>
      <patternFill patternType="solid">
        <fgColor rgb="FFFFFFFF"/>
        <bgColor rgb="FFFFFFCC"/>
      </patternFill>
    </fill>
  </fills>
  <borders count="13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rgb="FF000000"/>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8"/>
      </left>
      <right style="thin">
        <color indexed="8"/>
      </right>
      <top style="thin">
        <color indexed="8"/>
      </top>
      <bottom style="thin">
        <color indexed="8"/>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8"/>
      </left>
      <right/>
      <top style="thin">
        <color indexed="8"/>
      </top>
      <bottom style="thin">
        <color indexed="8"/>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thin">
        <color indexed="8"/>
      </left>
      <right style="thin">
        <color indexed="8"/>
      </right>
      <top style="thin">
        <color indexed="8"/>
      </top>
      <bottom style="medium">
        <color indexed="64"/>
      </bottom>
      <diagonal/>
    </border>
    <border>
      <left style="thin">
        <color indexed="8"/>
      </left>
      <right/>
      <top style="thin">
        <color indexed="8"/>
      </top>
      <bottom style="medium">
        <color indexed="64"/>
      </bottom>
      <diagonal/>
    </border>
    <border>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ck">
        <color indexed="64"/>
      </left>
      <right/>
      <top style="thin">
        <color indexed="64"/>
      </top>
      <bottom style="thin">
        <color indexed="64"/>
      </bottom>
      <diagonal/>
    </border>
    <border>
      <left/>
      <right style="medium">
        <color rgb="FF000000"/>
      </right>
      <top style="medium">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ck">
        <color indexed="64"/>
      </left>
      <right/>
      <top/>
      <bottom style="thick">
        <color indexed="64"/>
      </bottom>
      <diagonal/>
    </border>
    <border>
      <left style="medium">
        <color indexed="64"/>
      </left>
      <right style="thick">
        <color indexed="64"/>
      </right>
      <top/>
      <bottom style="medium">
        <color indexed="64"/>
      </bottom>
      <diagonal/>
    </border>
    <border>
      <left style="thick">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thick">
        <color indexed="64"/>
      </left>
      <right/>
      <top style="thin">
        <color indexed="64"/>
      </top>
      <bottom/>
      <diagonal/>
    </border>
    <border>
      <left style="thin">
        <color indexed="64"/>
      </left>
      <right style="thin">
        <color indexed="64"/>
      </right>
      <top style="thin">
        <color indexed="64"/>
      </top>
      <bottom/>
      <diagonal/>
    </border>
    <border>
      <left style="medium">
        <color indexed="64"/>
      </left>
      <right style="thick">
        <color indexed="64"/>
      </right>
      <top style="medium">
        <color indexed="64"/>
      </top>
      <bottom style="medium">
        <color indexed="64"/>
      </bottom>
      <diagonal/>
    </border>
    <border>
      <left style="thick">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thin">
        <color rgb="FF000000"/>
      </left>
      <right/>
      <top style="medium">
        <color rgb="FF000000"/>
      </top>
      <bottom style="thin">
        <color rgb="FF000000"/>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right/>
      <top/>
      <bottom style="thin">
        <color rgb="FF000000"/>
      </bottom>
      <diagonal/>
    </border>
    <border>
      <left style="medium">
        <color rgb="FF000000"/>
      </left>
      <right/>
      <top style="medium">
        <color rgb="FF000000"/>
      </top>
      <bottom style="thin">
        <color rgb="FF000000"/>
      </bottom>
      <diagonal/>
    </border>
    <border>
      <left/>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top/>
      <bottom style="thin">
        <color rgb="FF000000"/>
      </bottom>
      <diagonal/>
    </border>
    <border>
      <left style="medium">
        <color rgb="FF000000"/>
      </left>
      <right/>
      <top style="thin">
        <color rgb="FF000000"/>
      </top>
      <bottom style="medium">
        <color rgb="FF000000"/>
      </bottom>
      <diagonal/>
    </border>
    <border>
      <left style="medium">
        <color rgb="FF000000"/>
      </left>
      <right/>
      <top style="thin">
        <color rgb="FF000000"/>
      </top>
      <bottom/>
      <diagonal/>
    </border>
    <border>
      <left/>
      <right style="thin">
        <color rgb="FF000000"/>
      </right>
      <top style="thin">
        <color rgb="FF000000"/>
      </top>
      <bottom style="thin">
        <color rgb="FF000000"/>
      </bottom>
      <diagonal/>
    </border>
    <border>
      <left/>
      <right style="medium">
        <color rgb="FF000000"/>
      </right>
      <top/>
      <bottom style="thin">
        <color rgb="FF000000"/>
      </bottom>
      <diagonal/>
    </border>
    <border>
      <left/>
      <right style="medium">
        <color rgb="FF000000"/>
      </right>
      <top style="thin">
        <color rgb="FF000000"/>
      </top>
      <bottom style="medium">
        <color rgb="FF000000"/>
      </bottom>
      <diagonal/>
    </border>
    <border>
      <left/>
      <right style="medium">
        <color rgb="FF000000"/>
      </right>
      <top style="thin">
        <color rgb="FF000000"/>
      </top>
      <bottom/>
      <diagonal/>
    </border>
    <border>
      <left/>
      <right/>
      <top style="thin">
        <color rgb="FF000000"/>
      </top>
      <bottom style="medium">
        <color rgb="FF000000"/>
      </bottom>
      <diagonal/>
    </border>
    <border>
      <left/>
      <right/>
      <top style="thin">
        <color rgb="FF000000"/>
      </top>
      <bottom/>
      <diagonal/>
    </border>
    <border>
      <left/>
      <right style="thin">
        <color rgb="FF000000"/>
      </right>
      <top/>
      <bottom style="thin">
        <color rgb="FF000000"/>
      </bottom>
      <diagonal/>
    </border>
    <border>
      <left/>
      <right style="thin">
        <color rgb="FF000000"/>
      </right>
      <top style="thin">
        <color rgb="FF000000"/>
      </top>
      <bottom/>
      <diagonal/>
    </border>
    <border>
      <left/>
      <right style="thin">
        <color rgb="FF000000"/>
      </right>
      <top style="medium">
        <color rgb="FF000000"/>
      </top>
      <bottom style="thin">
        <color rgb="FF000000"/>
      </bottom>
      <diagonal/>
    </border>
    <border>
      <left/>
      <right style="thin">
        <color rgb="FF000000"/>
      </right>
      <top style="thin">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ck">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ck">
        <color indexed="64"/>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style="thin">
        <color indexed="8"/>
      </right>
      <top style="medium">
        <color indexed="64"/>
      </top>
      <bottom/>
      <diagonal/>
    </border>
    <border>
      <left/>
      <right style="thin">
        <color indexed="8"/>
      </right>
      <top style="medium">
        <color indexed="64"/>
      </top>
      <bottom/>
      <diagonal/>
    </border>
    <border>
      <left style="medium">
        <color indexed="64"/>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top/>
      <bottom style="thin">
        <color indexed="64"/>
      </bottom>
      <diagonal/>
    </border>
    <border>
      <left/>
      <right/>
      <top style="thin">
        <color indexed="64"/>
      </top>
      <bottom/>
      <diagonal/>
    </border>
    <border>
      <left style="medium">
        <color indexed="64"/>
      </left>
      <right style="thin">
        <color indexed="8"/>
      </right>
      <top style="medium">
        <color indexed="64"/>
      </top>
      <bottom style="thin">
        <color indexed="8"/>
      </bottom>
      <diagonal/>
    </border>
    <border>
      <left style="medium">
        <color indexed="64"/>
      </left>
      <right style="thin">
        <color indexed="8"/>
      </right>
      <top style="thin">
        <color indexed="8"/>
      </top>
      <bottom style="thin">
        <color indexed="8"/>
      </bottom>
      <diagonal/>
    </border>
    <border>
      <left style="medium">
        <color indexed="64"/>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64"/>
      </bottom>
      <diagonal/>
    </border>
    <border>
      <left style="medium">
        <color indexed="64"/>
      </left>
      <right style="thin">
        <color indexed="8"/>
      </right>
      <top style="thin">
        <color indexed="8"/>
      </top>
      <bottom/>
      <diagonal/>
    </border>
    <border>
      <left style="thin">
        <color indexed="8"/>
      </left>
      <right style="medium">
        <color indexed="64"/>
      </right>
      <top style="medium">
        <color indexed="64"/>
      </top>
      <bottom/>
      <diagonal/>
    </border>
    <border>
      <left style="medium">
        <color indexed="64"/>
      </left>
      <right/>
      <top style="medium">
        <color indexed="64"/>
      </top>
      <bottom style="thin">
        <color indexed="64"/>
      </bottom>
      <diagonal/>
    </border>
    <border>
      <left style="thin">
        <color indexed="8"/>
      </left>
      <right/>
      <top style="medium">
        <color indexed="64"/>
      </top>
      <bottom/>
      <diagonal/>
    </border>
    <border>
      <left style="medium">
        <color indexed="64"/>
      </left>
      <right style="medium">
        <color indexed="64"/>
      </right>
      <top style="thin">
        <color indexed="64"/>
      </top>
      <bottom/>
      <diagonal/>
    </border>
    <border>
      <left style="medium">
        <color indexed="64"/>
      </left>
      <right style="thin">
        <color indexed="8"/>
      </right>
      <top/>
      <bottom/>
      <diagonal/>
    </border>
    <border>
      <left style="thin">
        <color indexed="8"/>
      </left>
      <right style="medium">
        <color indexed="64"/>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top style="thin">
        <color indexed="64"/>
      </top>
      <bottom style="thin">
        <color indexed="64"/>
      </bottom>
      <diagonal/>
    </border>
  </borders>
  <cellStyleXfs count="9">
    <xf numFmtId="0" fontId="0" fillId="0" borderId="0"/>
    <xf numFmtId="0" fontId="8" fillId="0" borderId="0"/>
    <xf numFmtId="0" fontId="9" fillId="0" borderId="0"/>
    <xf numFmtId="9" fontId="8" fillId="0" borderId="0" applyFill="0" applyBorder="0" applyAlignment="0" applyProtection="0"/>
    <xf numFmtId="0" fontId="1" fillId="0" borderId="0"/>
    <xf numFmtId="9" fontId="1" fillId="0" borderId="0" applyFont="0" applyFill="0" applyBorder="0" applyAlignment="0" applyProtection="0"/>
    <xf numFmtId="0" fontId="13" fillId="0" borderId="0"/>
    <xf numFmtId="0" fontId="8" fillId="0" borderId="0"/>
    <xf numFmtId="0" fontId="41" fillId="0" borderId="0"/>
  </cellStyleXfs>
  <cellXfs count="458">
    <xf numFmtId="0" fontId="0" fillId="0" borderId="0" xfId="0"/>
    <xf numFmtId="0" fontId="0" fillId="0" borderId="0" xfId="0" applyAlignment="1">
      <alignment horizontal="center"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2" fillId="0" borderId="5" xfId="0" applyFont="1" applyBorder="1"/>
    <xf numFmtId="10" fontId="5" fillId="0" borderId="5" xfId="0" applyNumberFormat="1" applyFont="1" applyBorder="1" applyAlignment="1">
      <alignment horizontal="center" vertical="center"/>
    </xf>
    <xf numFmtId="0" fontId="5" fillId="3" borderId="4" xfId="0" applyFont="1" applyFill="1" applyBorder="1" applyAlignment="1">
      <alignment horizontal="center" vertical="center"/>
    </xf>
    <xf numFmtId="0" fontId="5" fillId="3" borderId="5" xfId="0" applyFont="1" applyFill="1" applyBorder="1" applyAlignment="1">
      <alignment horizontal="center" vertical="center"/>
    </xf>
    <xf numFmtId="10" fontId="5" fillId="3" borderId="5" xfId="0" applyNumberFormat="1" applyFont="1" applyFill="1" applyBorder="1" applyAlignment="1">
      <alignment horizontal="center" vertical="center"/>
    </xf>
    <xf numFmtId="1" fontId="5" fillId="0" borderId="5" xfId="0" applyNumberFormat="1" applyFont="1" applyBorder="1" applyAlignment="1">
      <alignment horizontal="center" vertical="center"/>
    </xf>
    <xf numFmtId="0" fontId="8" fillId="4" borderId="6" xfId="1" applyFill="1" applyBorder="1" applyAlignment="1">
      <alignment horizontal="center" vertical="center"/>
    </xf>
    <xf numFmtId="0" fontId="8" fillId="5" borderId="10" xfId="1" applyFill="1" applyBorder="1" applyAlignment="1">
      <alignment horizontal="center" vertical="center"/>
    </xf>
    <xf numFmtId="0" fontId="8" fillId="4" borderId="10" xfId="1" applyFill="1" applyBorder="1" applyAlignment="1">
      <alignment horizontal="center" vertical="center"/>
    </xf>
    <xf numFmtId="0" fontId="8" fillId="5" borderId="16" xfId="1" applyFill="1" applyBorder="1" applyAlignment="1">
      <alignment horizontal="center" vertical="center"/>
    </xf>
    <xf numFmtId="0" fontId="8" fillId="4" borderId="16" xfId="1" applyFill="1" applyBorder="1" applyAlignment="1">
      <alignment horizontal="center" vertical="center"/>
    </xf>
    <xf numFmtId="0" fontId="8" fillId="5" borderId="17" xfId="1" applyFill="1" applyBorder="1" applyAlignment="1">
      <alignment horizontal="center" vertical="center"/>
    </xf>
    <xf numFmtId="0" fontId="8" fillId="4" borderId="18" xfId="1" applyFill="1" applyBorder="1" applyAlignment="1">
      <alignment horizontal="center" vertical="center"/>
    </xf>
    <xf numFmtId="0" fontId="8" fillId="4" borderId="19" xfId="1" applyFill="1" applyBorder="1" applyAlignment="1">
      <alignment horizontal="center" vertical="center"/>
    </xf>
    <xf numFmtId="0" fontId="10" fillId="0" borderId="11" xfId="0" applyFont="1" applyBorder="1" applyAlignment="1">
      <alignment horizontal="center"/>
    </xf>
    <xf numFmtId="0" fontId="10" fillId="0" borderId="12" xfId="0" applyFont="1" applyBorder="1" applyAlignment="1">
      <alignment horizontal="center"/>
    </xf>
    <xf numFmtId="0" fontId="10" fillId="0" borderId="13" xfId="0" applyFont="1" applyBorder="1" applyAlignment="1">
      <alignment horizontal="center"/>
    </xf>
    <xf numFmtId="1" fontId="10" fillId="0" borderId="12" xfId="0" applyNumberFormat="1" applyFont="1" applyBorder="1" applyAlignment="1">
      <alignment horizontal="center"/>
    </xf>
    <xf numFmtId="17" fontId="8" fillId="7" borderId="14" xfId="0" applyNumberFormat="1" applyFont="1" applyFill="1" applyBorder="1" applyAlignment="1">
      <alignment horizontal="center"/>
    </xf>
    <xf numFmtId="17" fontId="8" fillId="7" borderId="7" xfId="0" applyNumberFormat="1" applyFont="1" applyFill="1" applyBorder="1" applyAlignment="1">
      <alignment horizontal="center"/>
    </xf>
    <xf numFmtId="17" fontId="8" fillId="7" borderId="15" xfId="0" applyNumberFormat="1" applyFont="1" applyFill="1" applyBorder="1" applyAlignment="1">
      <alignment horizontal="center"/>
    </xf>
    <xf numFmtId="17" fontId="8" fillId="7" borderId="20" xfId="0" applyNumberFormat="1" applyFont="1" applyFill="1" applyBorder="1" applyAlignment="1">
      <alignment horizontal="center"/>
    </xf>
    <xf numFmtId="0" fontId="7" fillId="7" borderId="15" xfId="0" applyFont="1" applyFill="1" applyBorder="1" applyAlignment="1">
      <alignment horizontal="center" vertical="center"/>
    </xf>
    <xf numFmtId="0" fontId="7" fillId="7" borderId="25" xfId="0" applyFont="1" applyFill="1" applyBorder="1" applyAlignment="1">
      <alignment horizontal="center" vertical="center"/>
    </xf>
    <xf numFmtId="0" fontId="7" fillId="7" borderId="13" xfId="0" applyFont="1" applyFill="1" applyBorder="1" applyAlignment="1">
      <alignment horizontal="center" vertical="center"/>
    </xf>
    <xf numFmtId="0" fontId="8" fillId="4" borderId="0" xfId="1" applyFill="1" applyAlignment="1">
      <alignment horizontal="center" vertical="center"/>
    </xf>
    <xf numFmtId="0" fontId="5" fillId="4" borderId="5" xfId="0" applyFont="1" applyFill="1" applyBorder="1" applyAlignment="1">
      <alignment horizontal="center" vertical="center"/>
    </xf>
    <xf numFmtId="17" fontId="8" fillId="7" borderId="27" xfId="0" applyNumberFormat="1" applyFont="1" applyFill="1" applyBorder="1" applyAlignment="1">
      <alignment horizontal="center"/>
    </xf>
    <xf numFmtId="0" fontId="8" fillId="4" borderId="28" xfId="1" applyFill="1" applyBorder="1" applyAlignment="1">
      <alignment horizontal="center" vertical="center"/>
    </xf>
    <xf numFmtId="0" fontId="8" fillId="4" borderId="29" xfId="1" applyFill="1" applyBorder="1" applyAlignment="1">
      <alignment horizontal="center" vertical="center"/>
    </xf>
    <xf numFmtId="1" fontId="10" fillId="0" borderId="13" xfId="0" applyNumberFormat="1" applyFont="1" applyBorder="1" applyAlignment="1">
      <alignment horizontal="center"/>
    </xf>
    <xf numFmtId="0" fontId="13" fillId="0" borderId="0" xfId="6" applyAlignment="1">
      <alignment horizontal="center"/>
    </xf>
    <xf numFmtId="0" fontId="13" fillId="0" borderId="0" xfId="6"/>
    <xf numFmtId="0" fontId="13" fillId="4" borderId="23" xfId="6" applyFill="1" applyBorder="1"/>
    <xf numFmtId="0" fontId="15" fillId="0" borderId="0" xfId="6" applyFont="1" applyAlignment="1">
      <alignment vertical="center"/>
    </xf>
    <xf numFmtId="0" fontId="15" fillId="4" borderId="31" xfId="6" applyFont="1" applyFill="1" applyBorder="1" applyAlignment="1">
      <alignment vertical="center"/>
    </xf>
    <xf numFmtId="0" fontId="15" fillId="4" borderId="23" xfId="6" applyFont="1" applyFill="1" applyBorder="1" applyAlignment="1">
      <alignment vertical="center"/>
    </xf>
    <xf numFmtId="0" fontId="13" fillId="4" borderId="24" xfId="6" applyFill="1" applyBorder="1"/>
    <xf numFmtId="0" fontId="13" fillId="4" borderId="33" xfId="6" applyFill="1" applyBorder="1"/>
    <xf numFmtId="0" fontId="15" fillId="4" borderId="26" xfId="6" applyFont="1" applyFill="1" applyBorder="1" applyAlignment="1">
      <alignment vertical="center"/>
    </xf>
    <xf numFmtId="0" fontId="15" fillId="4" borderId="0" xfId="6" applyFont="1" applyFill="1" applyAlignment="1">
      <alignment vertical="center"/>
    </xf>
    <xf numFmtId="0" fontId="13" fillId="4" borderId="0" xfId="6" applyFill="1"/>
    <xf numFmtId="0" fontId="13" fillId="4" borderId="34" xfId="6" applyFill="1" applyBorder="1"/>
    <xf numFmtId="0" fontId="13" fillId="4" borderId="26" xfId="6" applyFill="1" applyBorder="1"/>
    <xf numFmtId="0" fontId="20" fillId="11" borderId="35" xfId="6" applyFont="1" applyFill="1" applyBorder="1" applyAlignment="1">
      <alignment horizontal="center" vertical="center"/>
    </xf>
    <xf numFmtId="0" fontId="23" fillId="0" borderId="36" xfId="6" applyFont="1" applyBorder="1" applyAlignment="1">
      <alignment horizontal="center"/>
    </xf>
    <xf numFmtId="0" fontId="23" fillId="0" borderId="36" xfId="7" applyFont="1" applyBorder="1" applyAlignment="1">
      <alignment horizontal="center"/>
    </xf>
    <xf numFmtId="0" fontId="25" fillId="0" borderId="0" xfId="6" applyFont="1" applyAlignment="1">
      <alignment horizontal="center" vertical="center"/>
    </xf>
    <xf numFmtId="17" fontId="26" fillId="13" borderId="23" xfId="6" applyNumberFormat="1" applyFont="1" applyFill="1" applyBorder="1" applyAlignment="1">
      <alignment horizontal="center" vertical="center" textRotation="90" wrapText="1"/>
    </xf>
    <xf numFmtId="0" fontId="15" fillId="4" borderId="34" xfId="6" applyFont="1" applyFill="1" applyBorder="1" applyAlignment="1">
      <alignment vertical="center"/>
    </xf>
    <xf numFmtId="0" fontId="22" fillId="11" borderId="37" xfId="6" applyFont="1" applyFill="1" applyBorder="1" applyAlignment="1">
      <alignment horizontal="center" vertical="center"/>
    </xf>
    <xf numFmtId="0" fontId="23" fillId="0" borderId="35" xfId="7" applyFont="1" applyBorder="1" applyAlignment="1">
      <alignment horizontal="center"/>
    </xf>
    <xf numFmtId="0" fontId="23" fillId="0" borderId="35" xfId="6" applyFont="1" applyBorder="1" applyAlignment="1">
      <alignment horizontal="center"/>
    </xf>
    <xf numFmtId="0" fontId="27" fillId="14" borderId="38" xfId="6" applyFont="1" applyFill="1" applyBorder="1" applyAlignment="1">
      <alignment horizontal="center" vertical="center"/>
    </xf>
    <xf numFmtId="0" fontId="27" fillId="14" borderId="24" xfId="6" applyFont="1" applyFill="1" applyBorder="1" applyAlignment="1">
      <alignment horizontal="center" vertical="center"/>
    </xf>
    <xf numFmtId="0" fontId="29" fillId="0" borderId="35" xfId="6" applyFont="1" applyBorder="1" applyAlignment="1">
      <alignment horizontal="center" vertical="center"/>
    </xf>
    <xf numFmtId="0" fontId="30" fillId="4" borderId="34" xfId="6" applyFont="1" applyFill="1" applyBorder="1" applyAlignment="1">
      <alignment horizontal="center" vertical="center"/>
    </xf>
    <xf numFmtId="0" fontId="29" fillId="15" borderId="35" xfId="6" applyFont="1" applyFill="1" applyBorder="1" applyAlignment="1">
      <alignment horizontal="center" vertical="center"/>
    </xf>
    <xf numFmtId="0" fontId="27" fillId="16" borderId="35" xfId="6" applyFont="1" applyFill="1" applyBorder="1" applyAlignment="1">
      <alignment horizontal="center" vertical="center"/>
    </xf>
    <xf numFmtId="17" fontId="26" fillId="17" borderId="14" xfId="6" applyNumberFormat="1" applyFont="1" applyFill="1" applyBorder="1" applyAlignment="1">
      <alignment horizontal="center" vertical="center" textRotation="90" wrapText="1"/>
    </xf>
    <xf numFmtId="17" fontId="26" fillId="17" borderId="7" xfId="6" applyNumberFormat="1" applyFont="1" applyFill="1" applyBorder="1" applyAlignment="1">
      <alignment horizontal="center" vertical="center" textRotation="90" wrapText="1"/>
    </xf>
    <xf numFmtId="17" fontId="26" fillId="17" borderId="40" xfId="6" applyNumberFormat="1" applyFont="1" applyFill="1" applyBorder="1" applyAlignment="1">
      <alignment horizontal="center" vertical="center" textRotation="90" wrapText="1"/>
    </xf>
    <xf numFmtId="17" fontId="26" fillId="19" borderId="14" xfId="6" applyNumberFormat="1" applyFont="1" applyFill="1" applyBorder="1" applyAlignment="1">
      <alignment horizontal="center" vertical="center" textRotation="90" wrapText="1"/>
    </xf>
    <xf numFmtId="17" fontId="26" fillId="19" borderId="43" xfId="6" applyNumberFormat="1" applyFont="1" applyFill="1" applyBorder="1" applyAlignment="1">
      <alignment horizontal="center" vertical="center" textRotation="90" wrapText="1"/>
    </xf>
    <xf numFmtId="17" fontId="26" fillId="19" borderId="40" xfId="6" applyNumberFormat="1" applyFont="1" applyFill="1" applyBorder="1" applyAlignment="1">
      <alignment horizontal="center" vertical="center" textRotation="90" wrapText="1"/>
    </xf>
    <xf numFmtId="0" fontId="15" fillId="4" borderId="32" xfId="6" applyFont="1" applyFill="1" applyBorder="1" applyAlignment="1">
      <alignment vertical="center"/>
    </xf>
    <xf numFmtId="0" fontId="15" fillId="4" borderId="5" xfId="6" applyFont="1" applyFill="1" applyBorder="1" applyAlignment="1">
      <alignment vertical="center"/>
    </xf>
    <xf numFmtId="0" fontId="15" fillId="4" borderId="33" xfId="6" applyFont="1" applyFill="1" applyBorder="1" applyAlignment="1">
      <alignment vertical="center"/>
    </xf>
    <xf numFmtId="0" fontId="21" fillId="11" borderId="35" xfId="6" applyFont="1" applyFill="1" applyBorder="1" applyAlignment="1">
      <alignment horizontal="center" vertical="center"/>
    </xf>
    <xf numFmtId="0" fontId="21" fillId="11" borderId="35" xfId="6" applyFont="1" applyFill="1" applyBorder="1" applyAlignment="1">
      <alignment horizontal="center" vertical="center" wrapText="1"/>
    </xf>
    <xf numFmtId="0" fontId="22" fillId="11" borderId="35" xfId="6" applyFont="1" applyFill="1" applyBorder="1" applyAlignment="1">
      <alignment horizontal="center" vertical="center"/>
    </xf>
    <xf numFmtId="0" fontId="24" fillId="12" borderId="35" xfId="6" applyFont="1" applyFill="1" applyBorder="1" applyAlignment="1">
      <alignment horizontal="center" vertical="center"/>
    </xf>
    <xf numFmtId="17" fontId="26" fillId="13" borderId="31" xfId="6" applyNumberFormat="1" applyFont="1" applyFill="1" applyBorder="1" applyAlignment="1">
      <alignment vertical="center" textRotation="90" wrapText="1"/>
    </xf>
    <xf numFmtId="17" fontId="26" fillId="4" borderId="0" xfId="6" applyNumberFormat="1" applyFont="1" applyFill="1" applyAlignment="1">
      <alignment vertical="center" textRotation="90" wrapText="1"/>
    </xf>
    <xf numFmtId="17" fontId="28" fillId="4" borderId="0" xfId="6" applyNumberFormat="1" applyFont="1" applyFill="1" applyAlignment="1">
      <alignment horizontal="center" vertical="center" wrapText="1"/>
    </xf>
    <xf numFmtId="0" fontId="27" fillId="4" borderId="0" xfId="6" applyFont="1" applyFill="1" applyAlignment="1">
      <alignment horizontal="center" vertical="center"/>
    </xf>
    <xf numFmtId="0" fontId="33" fillId="0" borderId="4" xfId="6" applyFont="1" applyBorder="1" applyAlignment="1">
      <alignment horizontal="center" vertical="center"/>
    </xf>
    <xf numFmtId="0" fontId="33" fillId="0" borderId="5" xfId="6" applyFont="1" applyBorder="1" applyAlignment="1">
      <alignment horizontal="center" vertical="center"/>
    </xf>
    <xf numFmtId="0" fontId="34" fillId="22" borderId="4" xfId="6" applyFont="1" applyFill="1" applyBorder="1" applyAlignment="1">
      <alignment horizontal="center" vertical="center"/>
    </xf>
    <xf numFmtId="0" fontId="34" fillId="22" borderId="5" xfId="6" applyFont="1" applyFill="1" applyBorder="1" applyAlignment="1">
      <alignment horizontal="center" vertical="center"/>
    </xf>
    <xf numFmtId="0" fontId="32" fillId="20" borderId="49" xfId="6" applyFont="1" applyFill="1" applyBorder="1" applyAlignment="1">
      <alignment horizontal="center" vertical="center"/>
    </xf>
    <xf numFmtId="0" fontId="24" fillId="21" borderId="50" xfId="6" applyFont="1" applyFill="1" applyBorder="1" applyAlignment="1">
      <alignment horizontal="center" vertical="center"/>
    </xf>
    <xf numFmtId="0" fontId="24" fillId="20" borderId="51" xfId="6" applyFont="1" applyFill="1" applyBorder="1" applyAlignment="1">
      <alignment horizontal="center" vertical="center"/>
    </xf>
    <xf numFmtId="0" fontId="22" fillId="11" borderId="53" xfId="6" applyFont="1" applyFill="1" applyBorder="1" applyAlignment="1">
      <alignment horizontal="center" vertical="center"/>
    </xf>
    <xf numFmtId="0" fontId="23" fillId="0" borderId="54" xfId="6" applyFont="1" applyBorder="1" applyAlignment="1">
      <alignment horizontal="center"/>
    </xf>
    <xf numFmtId="0" fontId="23" fillId="0" borderId="54" xfId="7" applyFont="1" applyBorder="1" applyAlignment="1">
      <alignment horizontal="center"/>
    </xf>
    <xf numFmtId="0" fontId="32" fillId="20" borderId="1" xfId="6" applyFont="1" applyFill="1" applyBorder="1" applyAlignment="1">
      <alignment horizontal="center" vertical="center"/>
    </xf>
    <xf numFmtId="0" fontId="24" fillId="21" borderId="55" xfId="6" applyFont="1" applyFill="1" applyBorder="1" applyAlignment="1">
      <alignment horizontal="center" vertical="center"/>
    </xf>
    <xf numFmtId="0" fontId="24" fillId="21" borderId="52" xfId="6" applyFont="1" applyFill="1" applyBorder="1" applyAlignment="1">
      <alignment horizontal="center" vertical="center"/>
    </xf>
    <xf numFmtId="0" fontId="22" fillId="11" borderId="56" xfId="6" applyFont="1" applyFill="1" applyBorder="1" applyAlignment="1">
      <alignment horizontal="center" vertical="center"/>
    </xf>
    <xf numFmtId="0" fontId="23" fillId="0" borderId="20" xfId="6" applyFont="1" applyBorder="1" applyAlignment="1">
      <alignment horizontal="center" vertical="center"/>
    </xf>
    <xf numFmtId="0" fontId="23" fillId="0" borderId="7" xfId="6" applyFont="1" applyBorder="1" applyAlignment="1">
      <alignment horizontal="center" vertical="center"/>
    </xf>
    <xf numFmtId="0" fontId="23" fillId="0" borderId="27" xfId="6" applyFont="1" applyBorder="1" applyAlignment="1">
      <alignment horizontal="center" vertical="center"/>
    </xf>
    <xf numFmtId="0" fontId="23" fillId="0" borderId="35" xfId="6" applyFont="1" applyBorder="1" applyAlignment="1">
      <alignment horizontal="center" vertical="center"/>
    </xf>
    <xf numFmtId="0" fontId="27" fillId="14" borderId="35" xfId="6" applyFont="1" applyFill="1" applyBorder="1" applyAlignment="1">
      <alignment horizontal="center" vertical="center"/>
    </xf>
    <xf numFmtId="1" fontId="27" fillId="16" borderId="35" xfId="6" applyNumberFormat="1" applyFont="1" applyFill="1" applyBorder="1" applyAlignment="1">
      <alignment horizontal="center" vertical="center"/>
    </xf>
    <xf numFmtId="164" fontId="0" fillId="0" borderId="0" xfId="0" applyNumberFormat="1"/>
    <xf numFmtId="0" fontId="0" fillId="0" borderId="60" xfId="0" applyBorder="1"/>
    <xf numFmtId="0" fontId="0" fillId="0" borderId="63" xfId="0" applyBorder="1"/>
    <xf numFmtId="164" fontId="0" fillId="0" borderId="64" xfId="0" applyNumberFormat="1" applyBorder="1"/>
    <xf numFmtId="0" fontId="0" fillId="0" borderId="66" xfId="0" applyBorder="1"/>
    <xf numFmtId="0" fontId="0" fillId="0" borderId="67" xfId="0" applyBorder="1"/>
    <xf numFmtId="0" fontId="0" fillId="0" borderId="68" xfId="0" applyBorder="1"/>
    <xf numFmtId="0" fontId="0" fillId="0" borderId="69" xfId="0" applyBorder="1"/>
    <xf numFmtId="0" fontId="0" fillId="0" borderId="70" xfId="0" applyBorder="1"/>
    <xf numFmtId="0" fontId="0" fillId="0" borderId="64" xfId="0" applyBorder="1"/>
    <xf numFmtId="0" fontId="36" fillId="23" borderId="57" xfId="0" applyFont="1" applyFill="1" applyBorder="1" applyAlignment="1">
      <alignment horizontal="center" vertical="center"/>
    </xf>
    <xf numFmtId="0" fontId="36" fillId="23" borderId="79" xfId="0" applyFont="1" applyFill="1" applyBorder="1" applyAlignment="1">
      <alignment horizontal="center" vertical="center"/>
    </xf>
    <xf numFmtId="0" fontId="36" fillId="23" borderId="80" xfId="0" applyFont="1" applyFill="1" applyBorder="1" applyAlignment="1">
      <alignment horizontal="center" vertical="center"/>
    </xf>
    <xf numFmtId="165" fontId="0" fillId="0" borderId="81" xfId="0" applyNumberFormat="1" applyBorder="1"/>
    <xf numFmtId="0" fontId="0" fillId="0" borderId="72" xfId="0" applyBorder="1"/>
    <xf numFmtId="165" fontId="0" fillId="0" borderId="82" xfId="0" applyNumberFormat="1" applyBorder="1"/>
    <xf numFmtId="0" fontId="0" fillId="0" borderId="65" xfId="0" applyBorder="1"/>
    <xf numFmtId="164" fontId="0" fillId="0" borderId="74" xfId="0" applyNumberFormat="1" applyBorder="1"/>
    <xf numFmtId="0" fontId="0" fillId="0" borderId="61" xfId="0" applyBorder="1"/>
    <xf numFmtId="164" fontId="0" fillId="0" borderId="65" xfId="0" applyNumberFormat="1" applyBorder="1"/>
    <xf numFmtId="0" fontId="36" fillId="23" borderId="58" xfId="0" applyFont="1" applyFill="1" applyBorder="1" applyAlignment="1">
      <alignment horizontal="center" vertical="center"/>
    </xf>
    <xf numFmtId="0" fontId="36" fillId="23" borderId="84" xfId="0" applyFont="1" applyFill="1" applyBorder="1" applyAlignment="1">
      <alignment horizontal="center" vertical="center"/>
    </xf>
    <xf numFmtId="0" fontId="0" fillId="0" borderId="75" xfId="0" applyBorder="1"/>
    <xf numFmtId="0" fontId="0" fillId="0" borderId="88" xfId="0" applyBorder="1"/>
    <xf numFmtId="0" fontId="0" fillId="0" borderId="89" xfId="0" applyBorder="1"/>
    <xf numFmtId="0" fontId="0" fillId="0" borderId="77" xfId="0" applyBorder="1"/>
    <xf numFmtId="0" fontId="0" fillId="0" borderId="85" xfId="0" applyBorder="1"/>
    <xf numFmtId="0" fontId="0" fillId="0" borderId="82" xfId="0" applyBorder="1"/>
    <xf numFmtId="0" fontId="0" fillId="0" borderId="86" xfId="0" applyBorder="1"/>
    <xf numFmtId="0" fontId="0" fillId="0" borderId="83" xfId="0" applyBorder="1"/>
    <xf numFmtId="0" fontId="0" fillId="0" borderId="87" xfId="0" applyBorder="1"/>
    <xf numFmtId="0" fontId="0" fillId="0" borderId="76" xfId="0" applyBorder="1"/>
    <xf numFmtId="0" fontId="0" fillId="0" borderId="78" xfId="0" applyBorder="1"/>
    <xf numFmtId="165" fontId="0" fillId="0" borderId="75" xfId="0" applyNumberFormat="1" applyBorder="1"/>
    <xf numFmtId="165" fontId="0" fillId="0" borderId="88" xfId="0" applyNumberFormat="1" applyBorder="1"/>
    <xf numFmtId="165" fontId="0" fillId="0" borderId="90" xfId="0" applyNumberFormat="1" applyBorder="1"/>
    <xf numFmtId="165" fontId="0" fillId="0" borderId="91" xfId="0" applyNumberFormat="1" applyBorder="1"/>
    <xf numFmtId="165" fontId="0" fillId="0" borderId="77" xfId="0" applyNumberFormat="1" applyBorder="1"/>
    <xf numFmtId="165" fontId="0" fillId="0" borderId="89" xfId="0" applyNumberFormat="1" applyBorder="1"/>
    <xf numFmtId="165" fontId="0" fillId="0" borderId="92" xfId="0" applyNumberFormat="1" applyBorder="1"/>
    <xf numFmtId="165" fontId="0" fillId="0" borderId="93" xfId="0" applyNumberFormat="1" applyBorder="1"/>
    <xf numFmtId="164" fontId="0" fillId="0" borderId="87" xfId="0" applyNumberFormat="1" applyBorder="1"/>
    <xf numFmtId="0" fontId="35" fillId="0" borderId="94" xfId="0" applyFont="1" applyBorder="1"/>
    <xf numFmtId="164" fontId="35" fillId="0" borderId="95" xfId="0" applyNumberFormat="1" applyFont="1" applyBorder="1"/>
    <xf numFmtId="9" fontId="0" fillId="0" borderId="0" xfId="0" applyNumberFormat="1"/>
    <xf numFmtId="17" fontId="26" fillId="13" borderId="31" xfId="6" applyNumberFormat="1" applyFont="1" applyFill="1" applyBorder="1" applyAlignment="1">
      <alignment horizontal="center" vertical="center" textRotation="90" wrapText="1"/>
    </xf>
    <xf numFmtId="0" fontId="27" fillId="14" borderId="12" xfId="6" applyFont="1" applyFill="1" applyBorder="1" applyAlignment="1">
      <alignment horizontal="center" vertical="center"/>
    </xf>
    <xf numFmtId="0" fontId="29" fillId="0" borderId="12" xfId="6" applyFont="1" applyBorder="1" applyAlignment="1">
      <alignment horizontal="center" vertical="center"/>
    </xf>
    <xf numFmtId="0" fontId="29" fillId="15" borderId="12" xfId="6" applyFont="1" applyFill="1" applyBorder="1" applyAlignment="1">
      <alignment horizontal="center" vertical="center"/>
    </xf>
    <xf numFmtId="1" fontId="27" fillId="16" borderId="25" xfId="6" applyNumberFormat="1" applyFont="1" applyFill="1" applyBorder="1" applyAlignment="1">
      <alignment horizontal="center" vertical="center"/>
    </xf>
    <xf numFmtId="1" fontId="27" fillId="16" borderId="13" xfId="6" applyNumberFormat="1" applyFont="1" applyFill="1" applyBorder="1" applyAlignment="1">
      <alignment horizontal="center" vertical="center"/>
    </xf>
    <xf numFmtId="0" fontId="23" fillId="15" borderId="20" xfId="6" applyFont="1" applyFill="1" applyBorder="1" applyAlignment="1">
      <alignment horizontal="center" vertical="center"/>
    </xf>
    <xf numFmtId="0" fontId="24" fillId="14" borderId="97" xfId="6" applyFont="1" applyFill="1" applyBorder="1" applyAlignment="1">
      <alignment horizontal="center" vertical="center"/>
    </xf>
    <xf numFmtId="0" fontId="20" fillId="11" borderId="20" xfId="6" applyFont="1" applyFill="1" applyBorder="1" applyAlignment="1">
      <alignment horizontal="center" vertical="center"/>
    </xf>
    <xf numFmtId="0" fontId="20" fillId="11" borderId="36" xfId="6" applyFont="1" applyFill="1" applyBorder="1" applyAlignment="1">
      <alignment horizontal="center" vertical="center"/>
    </xf>
    <xf numFmtId="0" fontId="18" fillId="14" borderId="35" xfId="6" applyFont="1" applyFill="1" applyBorder="1" applyAlignment="1">
      <alignment horizontal="center" vertical="center"/>
    </xf>
    <xf numFmtId="0" fontId="18" fillId="14" borderId="12" xfId="6" applyFont="1" applyFill="1" applyBorder="1" applyAlignment="1">
      <alignment horizontal="center" vertical="center"/>
    </xf>
    <xf numFmtId="17" fontId="38" fillId="4" borderId="97" xfId="6" applyNumberFormat="1" applyFont="1" applyFill="1" applyBorder="1" applyAlignment="1">
      <alignment horizontal="center" vertical="center" wrapText="1"/>
    </xf>
    <xf numFmtId="17" fontId="39" fillId="16" borderId="98" xfId="6" applyNumberFormat="1" applyFont="1" applyFill="1" applyBorder="1" applyAlignment="1">
      <alignment horizontal="center" vertical="center" wrapText="1"/>
    </xf>
    <xf numFmtId="1" fontId="18" fillId="16" borderId="25" xfId="6" applyNumberFormat="1" applyFont="1" applyFill="1" applyBorder="1" applyAlignment="1">
      <alignment horizontal="center" vertical="center"/>
    </xf>
    <xf numFmtId="1" fontId="18" fillId="16" borderId="13" xfId="6" applyNumberFormat="1" applyFont="1" applyFill="1" applyBorder="1" applyAlignment="1">
      <alignment horizontal="center" vertical="center"/>
    </xf>
    <xf numFmtId="0" fontId="33" fillId="0" borderId="35" xfId="6" applyFont="1" applyBorder="1" applyAlignment="1">
      <alignment horizontal="center" vertical="center"/>
    </xf>
    <xf numFmtId="0" fontId="33" fillId="0" borderId="12" xfId="6" applyFont="1" applyBorder="1" applyAlignment="1">
      <alignment horizontal="center" vertical="center"/>
    </xf>
    <xf numFmtId="17" fontId="26" fillId="25" borderId="31" xfId="6" applyNumberFormat="1" applyFont="1" applyFill="1" applyBorder="1" applyAlignment="1">
      <alignment horizontal="center" vertical="center" textRotation="90" wrapText="1"/>
    </xf>
    <xf numFmtId="0" fontId="23" fillId="0" borderId="20" xfId="0" applyFont="1" applyBorder="1"/>
    <xf numFmtId="0" fontId="23" fillId="0" borderId="107" xfId="0" applyFont="1" applyBorder="1"/>
    <xf numFmtId="0" fontId="23" fillId="0" borderId="36" xfId="0" applyFont="1" applyBorder="1"/>
    <xf numFmtId="0" fontId="23" fillId="0" borderId="20" xfId="8" applyFont="1" applyBorder="1" applyAlignment="1">
      <alignment horizontal="center"/>
    </xf>
    <xf numFmtId="0" fontId="23" fillId="0" borderId="7" xfId="8" applyFont="1" applyBorder="1" applyAlignment="1">
      <alignment horizontal="center"/>
    </xf>
    <xf numFmtId="0" fontId="23" fillId="0" borderId="107" xfId="7" applyFont="1" applyBorder="1" applyAlignment="1">
      <alignment horizontal="center"/>
    </xf>
    <xf numFmtId="0" fontId="23" fillId="0" borderId="109" xfId="7" applyFont="1" applyBorder="1" applyAlignment="1">
      <alignment horizontal="center"/>
    </xf>
    <xf numFmtId="0" fontId="23" fillId="0" borderId="20" xfId="0" applyFont="1" applyBorder="1" applyAlignment="1">
      <alignment horizontal="center"/>
    </xf>
    <xf numFmtId="0" fontId="23" fillId="0" borderId="7" xfId="0" applyFont="1" applyBorder="1" applyAlignment="1">
      <alignment horizontal="center"/>
    </xf>
    <xf numFmtId="0" fontId="23" fillId="0" borderId="107" xfId="0" applyFont="1" applyBorder="1" applyAlignment="1">
      <alignment horizontal="center"/>
    </xf>
    <xf numFmtId="0" fontId="23" fillId="0" borderId="35" xfId="0" applyFont="1" applyBorder="1" applyAlignment="1">
      <alignment horizontal="center"/>
    </xf>
    <xf numFmtId="0" fontId="23" fillId="0" borderId="36" xfId="0" applyFont="1" applyBorder="1" applyAlignment="1">
      <alignment horizontal="center"/>
    </xf>
    <xf numFmtId="0" fontId="20" fillId="11" borderId="99" xfId="6" applyFont="1" applyFill="1" applyBorder="1" applyAlignment="1">
      <alignment horizontal="center" vertical="center"/>
    </xf>
    <xf numFmtId="0" fontId="20" fillId="11" borderId="100" xfId="6" applyFont="1" applyFill="1" applyBorder="1" applyAlignment="1">
      <alignment horizontal="center" vertical="center"/>
    </xf>
    <xf numFmtId="0" fontId="23" fillId="0" borderId="27" xfId="8" applyFont="1" applyBorder="1" applyAlignment="1">
      <alignment horizontal="center"/>
    </xf>
    <xf numFmtId="0" fontId="8" fillId="4" borderId="110" xfId="1" applyFill="1" applyBorder="1" applyAlignment="1">
      <alignment horizontal="center" vertical="center"/>
    </xf>
    <xf numFmtId="0" fontId="8" fillId="4" borderId="111" xfId="1" applyFill="1" applyBorder="1" applyAlignment="1">
      <alignment horizontal="center" vertical="center"/>
    </xf>
    <xf numFmtId="0" fontId="8" fillId="4" borderId="52" xfId="1" applyFill="1" applyBorder="1" applyAlignment="1">
      <alignment horizontal="center" vertical="center"/>
    </xf>
    <xf numFmtId="0" fontId="8" fillId="4" borderId="112" xfId="1" applyFill="1" applyBorder="1" applyAlignment="1">
      <alignment horizontal="center" vertical="center"/>
    </xf>
    <xf numFmtId="0" fontId="8" fillId="4" borderId="113" xfId="1" applyFill="1" applyBorder="1" applyAlignment="1">
      <alignment horizontal="center" vertical="center"/>
    </xf>
    <xf numFmtId="0" fontId="8" fillId="4" borderId="114" xfId="1" applyFill="1" applyBorder="1" applyAlignment="1">
      <alignment horizontal="center" vertical="center"/>
    </xf>
    <xf numFmtId="0" fontId="8" fillId="4" borderId="115" xfId="1" applyFill="1" applyBorder="1" applyAlignment="1">
      <alignment horizontal="center" vertical="center"/>
    </xf>
    <xf numFmtId="0" fontId="8" fillId="4" borderId="116" xfId="1" applyFill="1" applyBorder="1" applyAlignment="1">
      <alignment horizontal="center" vertical="center"/>
    </xf>
    <xf numFmtId="0" fontId="8" fillId="27" borderId="6" xfId="1" applyFill="1" applyBorder="1" applyAlignment="1">
      <alignment horizontal="center" vertical="center"/>
    </xf>
    <xf numFmtId="0" fontId="8" fillId="5" borderId="119" xfId="1" applyFill="1" applyBorder="1" applyAlignment="1">
      <alignment horizontal="center" vertical="center"/>
    </xf>
    <xf numFmtId="0" fontId="8" fillId="4" borderId="120" xfId="1" applyFill="1" applyBorder="1" applyAlignment="1">
      <alignment horizontal="center" vertical="center"/>
    </xf>
    <xf numFmtId="0" fontId="8" fillId="4" borderId="121" xfId="1" applyFill="1" applyBorder="1" applyAlignment="1">
      <alignment horizontal="center" vertical="center"/>
    </xf>
    <xf numFmtId="0" fontId="8" fillId="4" borderId="123" xfId="1" applyFill="1" applyBorder="1" applyAlignment="1">
      <alignment horizontal="center" vertical="center"/>
    </xf>
    <xf numFmtId="0" fontId="8" fillId="4" borderId="31" xfId="1" applyFill="1" applyBorder="1" applyAlignment="1">
      <alignment horizontal="center" vertical="center"/>
    </xf>
    <xf numFmtId="0" fontId="13" fillId="0" borderId="31" xfId="6" applyBorder="1"/>
    <xf numFmtId="0" fontId="13" fillId="0" borderId="23" xfId="6" applyBorder="1"/>
    <xf numFmtId="0" fontId="13" fillId="0" borderId="24" xfId="6" applyBorder="1"/>
    <xf numFmtId="0" fontId="13" fillId="0" borderId="26" xfId="6" applyBorder="1"/>
    <xf numFmtId="0" fontId="13" fillId="0" borderId="34" xfId="6" applyBorder="1"/>
    <xf numFmtId="0" fontId="13" fillId="0" borderId="32" xfId="6" applyBorder="1"/>
    <xf numFmtId="0" fontId="13" fillId="0" borderId="33" xfId="6" applyBorder="1"/>
    <xf numFmtId="0" fontId="13" fillId="0" borderId="5" xfId="6" applyBorder="1"/>
    <xf numFmtId="0" fontId="13" fillId="29" borderId="32" xfId="6" applyFill="1" applyBorder="1"/>
    <xf numFmtId="0" fontId="13" fillId="29" borderId="33" xfId="6" applyFill="1" applyBorder="1"/>
    <xf numFmtId="0" fontId="13" fillId="29" borderId="5" xfId="6" applyFill="1" applyBorder="1"/>
    <xf numFmtId="0" fontId="13" fillId="30" borderId="32" xfId="6" applyFill="1" applyBorder="1"/>
    <xf numFmtId="0" fontId="13" fillId="30" borderId="33" xfId="6" applyFill="1" applyBorder="1"/>
    <xf numFmtId="0" fontId="13" fillId="30" borderId="5" xfId="6" applyFill="1" applyBorder="1"/>
    <xf numFmtId="0" fontId="42" fillId="0" borderId="0" xfId="6" applyFont="1" applyAlignment="1">
      <alignment vertical="center"/>
    </xf>
    <xf numFmtId="0" fontId="18" fillId="10" borderId="48" xfId="6" applyFont="1" applyFill="1" applyBorder="1" applyAlignment="1">
      <alignment horizontal="center" vertical="center"/>
    </xf>
    <xf numFmtId="0" fontId="20" fillId="11" borderId="48" xfId="6" applyFont="1" applyFill="1" applyBorder="1" applyAlignment="1">
      <alignment horizontal="center" vertical="center"/>
    </xf>
    <xf numFmtId="0" fontId="20" fillId="11" borderId="101" xfId="6" applyFont="1" applyFill="1" applyBorder="1" applyAlignment="1">
      <alignment horizontal="center" vertical="center"/>
    </xf>
    <xf numFmtId="0" fontId="32" fillId="20" borderId="32" xfId="6" applyFont="1" applyFill="1" applyBorder="1" applyAlignment="1">
      <alignment horizontal="center" vertical="center"/>
    </xf>
    <xf numFmtId="0" fontId="24" fillId="21" borderId="4" xfId="6" applyFont="1" applyFill="1" applyBorder="1" applyAlignment="1">
      <alignment horizontal="center" vertical="center"/>
    </xf>
    <xf numFmtId="0" fontId="12" fillId="8" borderId="125" xfId="0" applyFont="1" applyFill="1" applyBorder="1" applyAlignment="1">
      <alignment horizontal="center" vertical="center" wrapText="1"/>
    </xf>
    <xf numFmtId="0" fontId="8" fillId="28" borderId="10" xfId="1" applyFill="1" applyBorder="1" applyAlignment="1">
      <alignment horizontal="center" vertical="center"/>
    </xf>
    <xf numFmtId="0" fontId="8" fillId="28" borderId="17" xfId="1" applyFill="1" applyBorder="1" applyAlignment="1">
      <alignment horizontal="center" vertical="center"/>
    </xf>
    <xf numFmtId="0" fontId="8" fillId="27" borderId="126" xfId="1" applyFill="1" applyBorder="1" applyAlignment="1">
      <alignment horizontal="center" vertical="center"/>
    </xf>
    <xf numFmtId="0" fontId="8" fillId="27" borderId="10" xfId="1" applyFill="1" applyBorder="1" applyAlignment="1">
      <alignment horizontal="center" vertical="center"/>
    </xf>
    <xf numFmtId="3" fontId="10" fillId="0" borderId="21" xfId="0" applyNumberFormat="1" applyFont="1" applyBorder="1" applyAlignment="1">
      <alignment horizontal="center"/>
    </xf>
    <xf numFmtId="3" fontId="10" fillId="0" borderId="104" xfId="0" applyNumberFormat="1" applyFont="1" applyBorder="1" applyAlignment="1">
      <alignment horizontal="center"/>
    </xf>
    <xf numFmtId="3" fontId="10" fillId="0" borderId="22" xfId="0" applyNumberFormat="1" applyFont="1" applyBorder="1" applyAlignment="1">
      <alignment horizontal="center"/>
    </xf>
    <xf numFmtId="3" fontId="10" fillId="0" borderId="127" xfId="0" applyNumberFormat="1" applyFont="1" applyBorder="1" applyAlignment="1">
      <alignment horizontal="center"/>
    </xf>
    <xf numFmtId="0" fontId="8" fillId="4" borderId="35" xfId="1" applyFill="1" applyBorder="1" applyAlignment="1">
      <alignment horizontal="center" vertical="center"/>
    </xf>
    <xf numFmtId="0" fontId="8" fillId="28" borderId="124" xfId="1" applyFill="1" applyBorder="1" applyAlignment="1">
      <alignment horizontal="center" vertical="center"/>
    </xf>
    <xf numFmtId="0" fontId="8" fillId="4" borderId="97" xfId="1" applyFill="1" applyBorder="1" applyAlignment="1">
      <alignment horizontal="center" vertical="center"/>
    </xf>
    <xf numFmtId="0" fontId="8" fillId="4" borderId="12" xfId="1" applyFill="1" applyBorder="1" applyAlignment="1">
      <alignment horizontal="center" vertical="center"/>
    </xf>
    <xf numFmtId="3" fontId="10" fillId="4" borderId="45" xfId="0" applyNumberFormat="1" applyFont="1" applyFill="1" applyBorder="1" applyAlignment="1">
      <alignment horizontal="center"/>
    </xf>
    <xf numFmtId="3" fontId="10" fillId="4" borderId="42" xfId="0" applyNumberFormat="1" applyFont="1" applyFill="1" applyBorder="1" applyAlignment="1">
      <alignment horizontal="center"/>
    </xf>
    <xf numFmtId="3" fontId="10" fillId="33" borderId="45" xfId="0" applyNumberFormat="1" applyFont="1" applyFill="1" applyBorder="1" applyAlignment="1">
      <alignment horizontal="center"/>
    </xf>
    <xf numFmtId="0" fontId="0" fillId="34" borderId="0" xfId="0" applyFill="1"/>
    <xf numFmtId="0" fontId="42" fillId="4" borderId="0" xfId="6" applyFont="1" applyFill="1" applyAlignment="1">
      <alignment vertical="center"/>
    </xf>
    <xf numFmtId="0" fontId="13" fillId="36" borderId="1" xfId="6" applyFill="1" applyBorder="1"/>
    <xf numFmtId="0" fontId="13" fillId="36" borderId="2" xfId="6" applyFill="1" applyBorder="1"/>
    <xf numFmtId="0" fontId="13" fillId="36" borderId="30" xfId="6" applyFill="1" applyBorder="1"/>
    <xf numFmtId="0" fontId="13" fillId="30" borderId="1" xfId="6" applyFill="1" applyBorder="1"/>
    <xf numFmtId="0" fontId="13" fillId="30" borderId="2" xfId="6" applyFill="1" applyBorder="1"/>
    <xf numFmtId="0" fontId="13" fillId="30" borderId="30" xfId="6" applyFill="1" applyBorder="1"/>
    <xf numFmtId="17" fontId="38" fillId="4" borderId="7" xfId="6" applyNumberFormat="1" applyFont="1" applyFill="1" applyBorder="1" applyAlignment="1">
      <alignment horizontal="center" vertical="center" wrapText="1"/>
    </xf>
    <xf numFmtId="0" fontId="33" fillId="0" borderId="44" xfId="6" applyFont="1" applyBorder="1" applyAlignment="1">
      <alignment horizontal="center" vertical="center"/>
    </xf>
    <xf numFmtId="0" fontId="24" fillId="14" borderId="20" xfId="6" applyFont="1" applyFill="1" applyBorder="1" applyAlignment="1">
      <alignment horizontal="center" vertical="center"/>
    </xf>
    <xf numFmtId="0" fontId="18" fillId="14" borderId="36" xfId="6" applyFont="1" applyFill="1" applyBorder="1" applyAlignment="1">
      <alignment horizontal="center" vertical="center"/>
    </xf>
    <xf numFmtId="0" fontId="18" fillId="14" borderId="130" xfId="6" applyFont="1" applyFill="1" applyBorder="1" applyAlignment="1">
      <alignment horizontal="center" vertical="center"/>
    </xf>
    <xf numFmtId="17" fontId="39" fillId="16" borderId="27" xfId="6" applyNumberFormat="1" applyFont="1" applyFill="1" applyBorder="1" applyAlignment="1">
      <alignment horizontal="center" vertical="center" wrapText="1"/>
    </xf>
    <xf numFmtId="1" fontId="18" fillId="16" borderId="54" xfId="6" applyNumberFormat="1" applyFont="1" applyFill="1" applyBorder="1" applyAlignment="1">
      <alignment horizontal="center" vertical="center"/>
    </xf>
    <xf numFmtId="1" fontId="18" fillId="16" borderId="131" xfId="6" applyNumberFormat="1" applyFont="1" applyFill="1" applyBorder="1" applyAlignment="1">
      <alignment horizontal="center" vertical="center"/>
    </xf>
    <xf numFmtId="0" fontId="33" fillId="4" borderId="35" xfId="6" applyFont="1" applyFill="1" applyBorder="1" applyAlignment="1">
      <alignment horizontal="center" vertical="center"/>
    </xf>
    <xf numFmtId="0" fontId="33" fillId="4" borderId="44" xfId="6" applyFont="1" applyFill="1" applyBorder="1" applyAlignment="1">
      <alignment horizontal="center" vertical="center"/>
    </xf>
    <xf numFmtId="3" fontId="10" fillId="0" borderId="106" xfId="0" applyNumberFormat="1" applyFont="1" applyBorder="1" applyAlignment="1">
      <alignment horizontal="center"/>
    </xf>
    <xf numFmtId="0" fontId="12" fillId="8" borderId="21" xfId="0" applyFont="1" applyFill="1" applyBorder="1" applyAlignment="1">
      <alignment horizontal="center" vertical="center"/>
    </xf>
    <xf numFmtId="0" fontId="35" fillId="0" borderId="0" xfId="0" applyFont="1"/>
    <xf numFmtId="17" fontId="7" fillId="31" borderId="117" xfId="0" applyNumberFormat="1" applyFont="1" applyFill="1" applyBorder="1" applyAlignment="1">
      <alignment horizontal="center"/>
    </xf>
    <xf numFmtId="17" fontId="7" fillId="31" borderId="43" xfId="0" applyNumberFormat="1" applyFont="1" applyFill="1" applyBorder="1" applyAlignment="1">
      <alignment horizontal="center"/>
    </xf>
    <xf numFmtId="17" fontId="7" fillId="31" borderId="40" xfId="0" applyNumberFormat="1" applyFont="1" applyFill="1" applyBorder="1" applyAlignment="1">
      <alignment horizontal="center"/>
    </xf>
    <xf numFmtId="17" fontId="7" fillId="31" borderId="105" xfId="0" applyNumberFormat="1" applyFont="1" applyFill="1" applyBorder="1" applyAlignment="1">
      <alignment horizontal="center"/>
    </xf>
    <xf numFmtId="17" fontId="7" fillId="31" borderId="118" xfId="0" applyNumberFormat="1" applyFont="1" applyFill="1" applyBorder="1" applyAlignment="1">
      <alignment horizontal="center"/>
    </xf>
    <xf numFmtId="17" fontId="7" fillId="31" borderId="23" xfId="0" applyNumberFormat="1" applyFont="1" applyFill="1" applyBorder="1" applyAlignment="1">
      <alignment horizontal="center"/>
    </xf>
    <xf numFmtId="17" fontId="7" fillId="31" borderId="31" xfId="0" applyNumberFormat="1" applyFont="1" applyFill="1" applyBorder="1" applyAlignment="1">
      <alignment horizontal="center"/>
    </xf>
    <xf numFmtId="17" fontId="7" fillId="31" borderId="132" xfId="0" applyNumberFormat="1" applyFont="1" applyFill="1" applyBorder="1" applyAlignment="1">
      <alignment horizontal="center"/>
    </xf>
    <xf numFmtId="0" fontId="8" fillId="0" borderId="97" xfId="1" applyBorder="1" applyAlignment="1">
      <alignment horizontal="center" vertical="center"/>
    </xf>
    <xf numFmtId="0" fontId="8" fillId="0" borderId="35" xfId="1" applyBorder="1" applyAlignment="1">
      <alignment horizontal="center" vertical="center"/>
    </xf>
    <xf numFmtId="0" fontId="8" fillId="0" borderId="12" xfId="1" applyBorder="1" applyAlignment="1">
      <alignment horizontal="center" vertical="center"/>
    </xf>
    <xf numFmtId="17" fontId="7" fillId="37" borderId="132" xfId="0" applyNumberFormat="1" applyFont="1" applyFill="1" applyBorder="1" applyAlignment="1">
      <alignment horizontal="center"/>
    </xf>
    <xf numFmtId="0" fontId="8" fillId="32" borderId="12" xfId="1" applyFill="1" applyBorder="1" applyAlignment="1">
      <alignment horizontal="center" vertical="center"/>
    </xf>
    <xf numFmtId="0" fontId="8" fillId="32" borderId="97" xfId="1" applyFill="1" applyBorder="1" applyAlignment="1">
      <alignment horizontal="center" vertical="center"/>
    </xf>
    <xf numFmtId="0" fontId="8" fillId="32" borderId="35" xfId="1" applyFill="1" applyBorder="1" applyAlignment="1">
      <alignment horizontal="center" vertical="center"/>
    </xf>
    <xf numFmtId="0" fontId="8" fillId="0" borderId="128" xfId="1" applyBorder="1" applyAlignment="1">
      <alignment horizontal="center" vertical="center"/>
    </xf>
    <xf numFmtId="0" fontId="8" fillId="0" borderId="112" xfId="1" applyBorder="1" applyAlignment="1">
      <alignment horizontal="center" vertical="center"/>
    </xf>
    <xf numFmtId="0" fontId="8" fillId="0" borderId="129" xfId="1" applyBorder="1" applyAlignment="1">
      <alignment horizontal="center" vertical="center"/>
    </xf>
    <xf numFmtId="0" fontId="8" fillId="0" borderId="123" xfId="1" applyBorder="1" applyAlignment="1">
      <alignment horizontal="center" vertical="center"/>
    </xf>
    <xf numFmtId="0" fontId="8" fillId="0" borderId="28" xfId="1" applyBorder="1" applyAlignment="1">
      <alignment horizontal="center" vertical="center"/>
    </xf>
    <xf numFmtId="0" fontId="0" fillId="0" borderId="9" xfId="0" applyBorder="1" applyAlignment="1">
      <alignment horizontal="center" vertical="center" wrapText="1"/>
    </xf>
    <xf numFmtId="0" fontId="0" fillId="0" borderId="8" xfId="0" applyBorder="1" applyAlignment="1">
      <alignment horizontal="center" vertical="center" wrapText="1"/>
    </xf>
    <xf numFmtId="0" fontId="0" fillId="0" borderId="4" xfId="0" applyBorder="1" applyAlignment="1">
      <alignment horizontal="center" vertical="center" wrapText="1"/>
    </xf>
    <xf numFmtId="0" fontId="0" fillId="0" borderId="26" xfId="0" applyBorder="1" applyAlignment="1">
      <alignment horizontal="center" vertical="center"/>
    </xf>
    <xf numFmtId="1" fontId="0" fillId="0" borderId="26" xfId="0" applyNumberFormat="1" applyBorder="1" applyAlignment="1">
      <alignment horizontal="center" vertical="center"/>
    </xf>
    <xf numFmtId="0" fontId="12" fillId="8" borderId="21" xfId="0" applyFont="1" applyFill="1" applyBorder="1" applyAlignment="1">
      <alignment horizontal="center" vertical="center"/>
    </xf>
    <xf numFmtId="0" fontId="12" fillId="8" borderId="22" xfId="0" applyFont="1" applyFill="1" applyBorder="1" applyAlignment="1">
      <alignment horizontal="center" vertical="center"/>
    </xf>
    <xf numFmtId="0" fontId="11" fillId="6" borderId="23" xfId="0" applyFont="1" applyFill="1" applyBorder="1" applyAlignment="1">
      <alignment horizontal="center" vertical="center"/>
    </xf>
    <xf numFmtId="0" fontId="11" fillId="6" borderId="24" xfId="0" applyFont="1" applyFill="1" applyBorder="1" applyAlignment="1">
      <alignment horizontal="center" vertical="center"/>
    </xf>
    <xf numFmtId="0" fontId="42" fillId="0" borderId="23" xfId="6" applyFont="1" applyBorder="1" applyAlignment="1">
      <alignment horizontal="left" vertical="center"/>
    </xf>
    <xf numFmtId="0" fontId="42" fillId="0" borderId="24" xfId="6" applyFont="1" applyBorder="1" applyAlignment="1">
      <alignment horizontal="left" vertical="center"/>
    </xf>
    <xf numFmtId="0" fontId="42" fillId="0" borderId="0" xfId="6" applyFont="1" applyAlignment="1">
      <alignment horizontal="left" vertical="center"/>
    </xf>
    <xf numFmtId="0" fontId="42" fillId="0" borderId="34" xfId="6" applyFont="1" applyBorder="1" applyAlignment="1">
      <alignment horizontal="left" vertical="center"/>
    </xf>
    <xf numFmtId="0" fontId="42" fillId="0" borderId="33" xfId="6" applyFont="1" applyBorder="1" applyAlignment="1">
      <alignment horizontal="left" vertical="center"/>
    </xf>
    <xf numFmtId="0" fontId="42" fillId="0" borderId="5" xfId="6" applyFont="1" applyBorder="1" applyAlignment="1">
      <alignment horizontal="left" vertical="center"/>
    </xf>
    <xf numFmtId="0" fontId="13" fillId="0" borderId="31" xfId="6" applyBorder="1" applyAlignment="1">
      <alignment horizontal="center"/>
    </xf>
    <xf numFmtId="0" fontId="13" fillId="0" borderId="23" xfId="6" applyBorder="1" applyAlignment="1">
      <alignment horizontal="center"/>
    </xf>
    <xf numFmtId="0" fontId="13" fillId="0" borderId="24" xfId="6" applyBorder="1" applyAlignment="1">
      <alignment horizontal="center"/>
    </xf>
    <xf numFmtId="0" fontId="13" fillId="0" borderId="26" xfId="6" applyBorder="1" applyAlignment="1">
      <alignment horizontal="center"/>
    </xf>
    <xf numFmtId="0" fontId="13" fillId="0" borderId="0" xfId="6" applyAlignment="1">
      <alignment horizontal="center"/>
    </xf>
    <xf numFmtId="0" fontId="13" fillId="0" borderId="34" xfId="6" applyBorder="1" applyAlignment="1">
      <alignment horizontal="center"/>
    </xf>
    <xf numFmtId="0" fontId="13" fillId="0" borderId="32" xfId="6" applyBorder="1" applyAlignment="1">
      <alignment horizontal="center"/>
    </xf>
    <xf numFmtId="0" fontId="13" fillId="0" borderId="33" xfId="6" applyBorder="1" applyAlignment="1">
      <alignment horizontal="center"/>
    </xf>
    <xf numFmtId="0" fontId="13" fillId="0" borderId="5" xfId="6" applyBorder="1" applyAlignment="1">
      <alignment horizontal="center"/>
    </xf>
    <xf numFmtId="0" fontId="17" fillId="3" borderId="1" xfId="6" applyFont="1" applyFill="1" applyBorder="1" applyAlignment="1">
      <alignment horizontal="center" vertical="center"/>
    </xf>
    <xf numFmtId="0" fontId="17" fillId="3" borderId="2" xfId="6" applyFont="1" applyFill="1" applyBorder="1" applyAlignment="1">
      <alignment horizontal="center" vertical="center"/>
    </xf>
    <xf numFmtId="0" fontId="17" fillId="3" borderId="30" xfId="6" applyFont="1" applyFill="1" applyBorder="1" applyAlignment="1">
      <alignment horizontal="center" vertical="center"/>
    </xf>
    <xf numFmtId="0" fontId="43" fillId="0" borderId="1" xfId="6" applyFont="1" applyBorder="1" applyAlignment="1">
      <alignment horizontal="center" vertical="center"/>
    </xf>
    <xf numFmtId="0" fontId="43" fillId="0" borderId="2" xfId="6" applyFont="1" applyBorder="1" applyAlignment="1">
      <alignment horizontal="center" vertical="center"/>
    </xf>
    <xf numFmtId="0" fontId="43" fillId="0" borderId="30" xfId="6" applyFont="1" applyBorder="1" applyAlignment="1">
      <alignment horizontal="center" vertical="center"/>
    </xf>
    <xf numFmtId="0" fontId="32" fillId="0" borderId="54" xfId="6" applyFont="1" applyBorder="1" applyAlignment="1">
      <alignment horizontal="center" vertical="center"/>
    </xf>
    <xf numFmtId="0" fontId="19" fillId="26" borderId="31" xfId="6" applyFont="1" applyFill="1" applyBorder="1" applyAlignment="1">
      <alignment horizontal="center" vertical="center"/>
    </xf>
    <xf numFmtId="0" fontId="19" fillId="26" borderId="23" xfId="6" applyFont="1" applyFill="1" applyBorder="1" applyAlignment="1">
      <alignment horizontal="center" vertical="center"/>
    </xf>
    <xf numFmtId="0" fontId="19" fillId="26" borderId="24" xfId="6" applyFont="1" applyFill="1" applyBorder="1" applyAlignment="1">
      <alignment horizontal="center" vertical="center"/>
    </xf>
    <xf numFmtId="0" fontId="19" fillId="26" borderId="32" xfId="6" applyFont="1" applyFill="1" applyBorder="1" applyAlignment="1">
      <alignment horizontal="center" vertical="center"/>
    </xf>
    <xf numFmtId="0" fontId="19" fillId="26" borderId="33" xfId="6" applyFont="1" applyFill="1" applyBorder="1" applyAlignment="1">
      <alignment horizontal="center" vertical="center"/>
    </xf>
    <xf numFmtId="0" fontId="19" fillId="26" borderId="5" xfId="6" applyFont="1" applyFill="1" applyBorder="1" applyAlignment="1">
      <alignment horizontal="center" vertical="center"/>
    </xf>
    <xf numFmtId="166" fontId="14" fillId="9" borderId="99" xfId="6" applyNumberFormat="1" applyFont="1" applyFill="1" applyBorder="1" applyAlignment="1">
      <alignment horizontal="center" vertical="center"/>
    </xf>
    <xf numFmtId="166" fontId="14" fillId="9" borderId="102" xfId="6" applyNumberFormat="1" applyFont="1" applyFill="1" applyBorder="1" applyAlignment="1">
      <alignment horizontal="center" vertical="center"/>
    </xf>
    <xf numFmtId="166" fontId="14" fillId="9" borderId="100" xfId="6" applyNumberFormat="1" applyFont="1" applyFill="1" applyBorder="1" applyAlignment="1">
      <alignment horizontal="center" vertical="center"/>
    </xf>
    <xf numFmtId="0" fontId="19" fillId="4" borderId="31" xfId="6" applyFont="1" applyFill="1" applyBorder="1" applyAlignment="1">
      <alignment horizontal="center" vertical="center"/>
    </xf>
    <xf numFmtId="0" fontId="19" fillId="4" borderId="23" xfId="6" applyFont="1" applyFill="1" applyBorder="1" applyAlignment="1">
      <alignment horizontal="center" vertical="center"/>
    </xf>
    <xf numFmtId="0" fontId="19" fillId="4" borderId="24" xfId="6" applyFont="1" applyFill="1" applyBorder="1" applyAlignment="1">
      <alignment horizontal="center" vertical="center"/>
    </xf>
    <xf numFmtId="0" fontId="19" fillId="4" borderId="32" xfId="6" applyFont="1" applyFill="1" applyBorder="1" applyAlignment="1">
      <alignment horizontal="center" vertical="center"/>
    </xf>
    <xf numFmtId="0" fontId="19" fillId="4" borderId="33" xfId="6" applyFont="1" applyFill="1" applyBorder="1" applyAlignment="1">
      <alignment horizontal="center" vertical="center"/>
    </xf>
    <xf numFmtId="0" fontId="19" fillId="4" borderId="5" xfId="6" applyFont="1" applyFill="1" applyBorder="1" applyAlignment="1">
      <alignment horizontal="center" vertical="center"/>
    </xf>
    <xf numFmtId="166" fontId="26" fillId="13" borderId="9" xfId="6" applyNumberFormat="1" applyFont="1" applyFill="1" applyBorder="1" applyAlignment="1">
      <alignment horizontal="center" vertical="center" textRotation="90" wrapText="1"/>
    </xf>
    <xf numFmtId="166" fontId="26" fillId="13" borderId="8" xfId="6" applyNumberFormat="1" applyFont="1" applyFill="1" applyBorder="1" applyAlignment="1">
      <alignment horizontal="center" vertical="center" textRotation="90" wrapText="1"/>
    </xf>
    <xf numFmtId="166" fontId="26" fillId="13" borderId="4" xfId="6" applyNumberFormat="1" applyFont="1" applyFill="1" applyBorder="1" applyAlignment="1">
      <alignment horizontal="center" vertical="center" textRotation="90" wrapText="1"/>
    </xf>
    <xf numFmtId="0" fontId="40" fillId="25" borderId="105" xfId="6" applyFont="1" applyFill="1" applyBorder="1" applyAlignment="1">
      <alignment horizontal="center" vertical="center"/>
    </xf>
    <xf numFmtId="0" fontId="40" fillId="25" borderId="106" xfId="6" applyFont="1" applyFill="1" applyBorder="1" applyAlignment="1">
      <alignment horizontal="center" vertical="center"/>
    </xf>
    <xf numFmtId="17" fontId="14" fillId="35" borderId="9" xfId="0" applyNumberFormat="1" applyFont="1" applyFill="1" applyBorder="1" applyAlignment="1">
      <alignment horizontal="center" vertical="center" textRotation="90"/>
    </xf>
    <xf numFmtId="17" fontId="14" fillId="35" borderId="8" xfId="0" applyNumberFormat="1" applyFont="1" applyFill="1" applyBorder="1" applyAlignment="1">
      <alignment horizontal="center" vertical="center" textRotation="90"/>
    </xf>
    <xf numFmtId="17" fontId="14" fillId="35" borderId="4" xfId="0" applyNumberFormat="1" applyFont="1" applyFill="1" applyBorder="1" applyAlignment="1">
      <alignment horizontal="center" vertical="center" textRotation="90"/>
    </xf>
    <xf numFmtId="0" fontId="13" fillId="4" borderId="0" xfId="6" applyFill="1" applyAlignment="1">
      <alignment horizontal="center"/>
    </xf>
    <xf numFmtId="0" fontId="42" fillId="4" borderId="0" xfId="6" applyFont="1" applyFill="1" applyAlignment="1">
      <alignment horizontal="left" vertical="center"/>
    </xf>
    <xf numFmtId="0" fontId="19" fillId="4" borderId="1" xfId="6" applyFont="1" applyFill="1" applyBorder="1" applyAlignment="1">
      <alignment horizontal="center" vertical="center"/>
    </xf>
    <xf numFmtId="0" fontId="19" fillId="4" borderId="2" xfId="6" applyFont="1" applyFill="1" applyBorder="1" applyAlignment="1">
      <alignment horizontal="center" vertical="center"/>
    </xf>
    <xf numFmtId="0" fontId="19" fillId="4" borderId="30" xfId="6" applyFont="1" applyFill="1" applyBorder="1" applyAlignment="1">
      <alignment horizontal="center" vertical="center"/>
    </xf>
    <xf numFmtId="17" fontId="45" fillId="35" borderId="1" xfId="0" applyNumberFormat="1" applyFont="1" applyFill="1" applyBorder="1" applyAlignment="1">
      <alignment horizontal="center" vertical="center"/>
    </xf>
    <xf numFmtId="17" fontId="45" fillId="35" borderId="2" xfId="0" applyNumberFormat="1" applyFont="1" applyFill="1" applyBorder="1" applyAlignment="1">
      <alignment horizontal="center" vertical="center"/>
    </xf>
    <xf numFmtId="17" fontId="45" fillId="35" borderId="30" xfId="0" applyNumberFormat="1" applyFont="1" applyFill="1" applyBorder="1" applyAlignment="1">
      <alignment horizontal="center" vertical="center"/>
    </xf>
    <xf numFmtId="0" fontId="19" fillId="26" borderId="1" xfId="6" applyFont="1" applyFill="1" applyBorder="1" applyAlignment="1">
      <alignment horizontal="center" vertical="center"/>
    </xf>
    <xf numFmtId="0" fontId="19" fillId="26" borderId="2" xfId="6" applyFont="1" applyFill="1" applyBorder="1" applyAlignment="1">
      <alignment horizontal="center" vertical="center"/>
    </xf>
    <xf numFmtId="0" fontId="19" fillId="26" borderId="30" xfId="6" applyFont="1" applyFill="1" applyBorder="1" applyAlignment="1">
      <alignment horizontal="center" vertical="center"/>
    </xf>
    <xf numFmtId="0" fontId="13" fillId="0" borderId="1" xfId="6" applyBorder="1" applyAlignment="1">
      <alignment horizontal="center"/>
    </xf>
    <xf numFmtId="0" fontId="13" fillId="0" borderId="2" xfId="6" applyBorder="1" applyAlignment="1">
      <alignment horizontal="center"/>
    </xf>
    <xf numFmtId="0" fontId="13" fillId="0" borderId="30" xfId="6" applyBorder="1" applyAlignment="1">
      <alignment horizontal="center"/>
    </xf>
    <xf numFmtId="0" fontId="46" fillId="0" borderId="1" xfId="6" applyFont="1" applyBorder="1" applyAlignment="1">
      <alignment horizontal="center" vertical="center"/>
    </xf>
    <xf numFmtId="0" fontId="46" fillId="0" borderId="2" xfId="6" applyFont="1" applyBorder="1" applyAlignment="1">
      <alignment horizontal="center" vertical="center"/>
    </xf>
    <xf numFmtId="0" fontId="46" fillId="0" borderId="30" xfId="6" applyFont="1" applyBorder="1" applyAlignment="1">
      <alignment horizontal="center"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0" fillId="0" borderId="59" xfId="0" applyBorder="1" applyAlignment="1">
      <alignment horizontal="left" wrapText="1"/>
    </xf>
    <xf numFmtId="0" fontId="0" fillId="0" borderId="62" xfId="0" applyBorder="1" applyAlignment="1">
      <alignment horizontal="left" wrapText="1"/>
    </xf>
    <xf numFmtId="0" fontId="0" fillId="0" borderId="78" xfId="0" applyBorder="1" applyAlignment="1">
      <alignment horizontal="left" vertical="center" wrapText="1"/>
    </xf>
    <xf numFmtId="0" fontId="0" fillId="0" borderId="86" xfId="0" applyBorder="1" applyAlignment="1">
      <alignment horizontal="left" vertical="center"/>
    </xf>
    <xf numFmtId="0" fontId="0" fillId="0" borderId="0" xfId="0" applyAlignment="1">
      <alignment horizontal="left" vertical="center" wrapText="1"/>
    </xf>
    <xf numFmtId="0" fontId="36" fillId="23" borderId="77" xfId="0" applyFont="1" applyFill="1" applyBorder="1" applyAlignment="1">
      <alignment horizontal="center" wrapText="1"/>
    </xf>
    <xf numFmtId="0" fontId="36" fillId="23" borderId="78" xfId="0" applyFont="1" applyFill="1" applyBorder="1" applyAlignment="1">
      <alignment horizontal="center" wrapText="1"/>
    </xf>
    <xf numFmtId="0" fontId="36" fillId="23" borderId="76" xfId="0" applyFont="1" applyFill="1" applyBorder="1" applyAlignment="1">
      <alignment horizontal="center" wrapText="1"/>
    </xf>
    <xf numFmtId="0" fontId="0" fillId="0" borderId="71" xfId="0" applyBorder="1" applyAlignment="1">
      <alignment horizontal="left" vertical="center" wrapText="1"/>
    </xf>
    <xf numFmtId="0" fontId="0" fillId="0" borderId="62" xfId="0" applyBorder="1" applyAlignment="1">
      <alignment horizontal="left" vertical="center" wrapText="1"/>
    </xf>
    <xf numFmtId="0" fontId="0" fillId="0" borderId="71" xfId="0" applyBorder="1" applyAlignment="1">
      <alignment horizontal="left" wrapText="1"/>
    </xf>
    <xf numFmtId="0" fontId="0" fillId="0" borderId="73" xfId="0" applyBorder="1" applyAlignment="1">
      <alignment horizontal="left" wrapText="1"/>
    </xf>
    <xf numFmtId="0" fontId="0" fillId="0" borderId="85" xfId="0" applyBorder="1" applyAlignment="1">
      <alignment horizontal="left" vertical="center" wrapText="1"/>
    </xf>
    <xf numFmtId="0" fontId="0" fillId="0" borderId="87" xfId="0" applyBorder="1" applyAlignment="1">
      <alignment horizontal="left" vertical="center"/>
    </xf>
    <xf numFmtId="0" fontId="0" fillId="0" borderId="59" xfId="0" applyBorder="1" applyAlignment="1">
      <alignment horizontal="left" vertical="center" wrapText="1"/>
    </xf>
    <xf numFmtId="0" fontId="0" fillId="0" borderId="73" xfId="0" applyBorder="1" applyAlignment="1">
      <alignment horizontal="left" vertical="center" wrapText="1"/>
    </xf>
    <xf numFmtId="17" fontId="26" fillId="13" borderId="54" xfId="6" applyNumberFormat="1" applyFont="1" applyFill="1" applyBorder="1" applyAlignment="1">
      <alignment horizontal="center" vertical="center" textRotation="90" wrapText="1"/>
    </xf>
    <xf numFmtId="17" fontId="26" fillId="13" borderId="96" xfId="6" applyNumberFormat="1" applyFont="1" applyFill="1" applyBorder="1" applyAlignment="1">
      <alignment horizontal="center" vertical="center" textRotation="90" wrapText="1"/>
    </xf>
    <xf numFmtId="17" fontId="26" fillId="13" borderId="36" xfId="6" applyNumberFormat="1" applyFont="1" applyFill="1" applyBorder="1" applyAlignment="1">
      <alignment horizontal="center" vertical="center" textRotation="90" wrapText="1"/>
    </xf>
    <xf numFmtId="0" fontId="17" fillId="13" borderId="23" xfId="6" applyFont="1" applyFill="1" applyBorder="1" applyAlignment="1">
      <alignment horizontal="center" vertical="center"/>
    </xf>
    <xf numFmtId="0" fontId="17" fillId="13" borderId="24" xfId="6" applyFont="1" applyFill="1" applyBorder="1" applyAlignment="1">
      <alignment horizontal="center" vertical="center"/>
    </xf>
    <xf numFmtId="0" fontId="24" fillId="14" borderId="7" xfId="6" applyFont="1" applyFill="1" applyBorder="1" applyAlignment="1">
      <alignment horizontal="center" vertical="center"/>
    </xf>
    <xf numFmtId="0" fontId="24" fillId="14" borderId="35" xfId="6" applyFont="1" applyFill="1" applyBorder="1" applyAlignment="1">
      <alignment horizontal="center" vertical="center"/>
    </xf>
    <xf numFmtId="17" fontId="28" fillId="15" borderId="7" xfId="6" applyNumberFormat="1" applyFont="1" applyFill="1" applyBorder="1" applyAlignment="1">
      <alignment horizontal="center" vertical="center" wrapText="1"/>
    </xf>
    <xf numFmtId="17" fontId="28" fillId="15" borderId="35" xfId="6" applyNumberFormat="1" applyFont="1" applyFill="1" applyBorder="1" applyAlignment="1">
      <alignment horizontal="center" vertical="center" wrapText="1"/>
    </xf>
    <xf numFmtId="17" fontId="28" fillId="16" borderId="7" xfId="6" applyNumberFormat="1" applyFont="1" applyFill="1" applyBorder="1" applyAlignment="1">
      <alignment horizontal="center" vertical="center" wrapText="1"/>
    </xf>
    <xf numFmtId="17" fontId="28" fillId="16" borderId="35" xfId="6" applyNumberFormat="1" applyFont="1" applyFill="1" applyBorder="1" applyAlignment="1">
      <alignment horizontal="center" vertical="center" wrapText="1"/>
    </xf>
    <xf numFmtId="0" fontId="19" fillId="4" borderId="26" xfId="6" applyFont="1" applyFill="1" applyBorder="1" applyAlignment="1">
      <alignment horizontal="center" vertical="center"/>
    </xf>
    <xf numFmtId="0" fontId="14" fillId="4" borderId="1" xfId="6" applyFont="1" applyFill="1" applyBorder="1" applyAlignment="1">
      <alignment horizontal="center" vertical="center"/>
    </xf>
    <xf numFmtId="0" fontId="14" fillId="4" borderId="2" xfId="6" applyFont="1" applyFill="1" applyBorder="1" applyAlignment="1">
      <alignment horizontal="center" vertical="center"/>
    </xf>
    <xf numFmtId="0" fontId="14" fillId="4" borderId="30" xfId="6" applyFont="1" applyFill="1" applyBorder="1" applyAlignment="1">
      <alignment horizontal="center" vertical="center"/>
    </xf>
    <xf numFmtId="0" fontId="16" fillId="10" borderId="35" xfId="6" applyFont="1" applyFill="1" applyBorder="1" applyAlignment="1">
      <alignment horizontal="center" vertical="center" textRotation="90"/>
    </xf>
    <xf numFmtId="17" fontId="28" fillId="4" borderId="35" xfId="6" applyNumberFormat="1" applyFont="1" applyFill="1" applyBorder="1" applyAlignment="1">
      <alignment horizontal="center" vertical="center" wrapText="1"/>
    </xf>
    <xf numFmtId="17" fontId="14" fillId="9" borderId="35" xfId="6" applyNumberFormat="1" applyFont="1" applyFill="1" applyBorder="1" applyAlignment="1">
      <alignment horizontal="center" vertical="center"/>
    </xf>
    <xf numFmtId="0" fontId="23" fillId="0" borderId="35" xfId="6" applyFont="1" applyBorder="1" applyAlignment="1">
      <alignment horizontal="center" vertical="center"/>
    </xf>
    <xf numFmtId="0" fontId="17" fillId="3" borderId="35" xfId="6" applyFont="1" applyFill="1" applyBorder="1" applyAlignment="1">
      <alignment horizontal="center" vertical="center"/>
    </xf>
    <xf numFmtId="0" fontId="18" fillId="0" borderId="35" xfId="6" applyFont="1" applyBorder="1" applyAlignment="1">
      <alignment horizontal="center" vertical="center"/>
    </xf>
    <xf numFmtId="17" fontId="26" fillId="13" borderId="31" xfId="6" applyNumberFormat="1" applyFont="1" applyFill="1" applyBorder="1" applyAlignment="1">
      <alignment horizontal="center" vertical="center" textRotation="90" wrapText="1"/>
    </xf>
    <xf numFmtId="17" fontId="26" fillId="13" borderId="26" xfId="6" applyNumberFormat="1" applyFont="1" applyFill="1" applyBorder="1" applyAlignment="1">
      <alignment horizontal="center" vertical="center" textRotation="90" wrapText="1"/>
    </xf>
    <xf numFmtId="17" fontId="26" fillId="13" borderId="9" xfId="6" applyNumberFormat="1" applyFont="1" applyFill="1" applyBorder="1" applyAlignment="1">
      <alignment horizontal="center" vertical="center" textRotation="90" wrapText="1"/>
    </xf>
    <xf numFmtId="17" fontId="26" fillId="13" borderId="8" xfId="6" applyNumberFormat="1" applyFont="1" applyFill="1" applyBorder="1" applyAlignment="1">
      <alignment horizontal="center" vertical="center" textRotation="90" wrapText="1"/>
    </xf>
    <xf numFmtId="17" fontId="26" fillId="13" borderId="4" xfId="6" applyNumberFormat="1" applyFont="1" applyFill="1" applyBorder="1" applyAlignment="1">
      <alignment horizontal="center" vertical="center" textRotation="90" wrapText="1"/>
    </xf>
    <xf numFmtId="17" fontId="28" fillId="4" borderId="7" xfId="6" applyNumberFormat="1" applyFont="1" applyFill="1" applyBorder="1" applyAlignment="1">
      <alignment horizontal="center" vertical="center" wrapText="1"/>
    </xf>
    <xf numFmtId="0" fontId="24" fillId="14" borderId="97" xfId="6" applyFont="1" applyFill="1" applyBorder="1" applyAlignment="1">
      <alignment horizontal="center" vertical="center"/>
    </xf>
    <xf numFmtId="17" fontId="28" fillId="4" borderId="97" xfId="6" applyNumberFormat="1" applyFont="1" applyFill="1" applyBorder="1" applyAlignment="1">
      <alignment horizontal="center" vertical="center" wrapText="1"/>
    </xf>
    <xf numFmtId="17" fontId="28" fillId="15" borderId="97" xfId="6" applyNumberFormat="1" applyFont="1" applyFill="1" applyBorder="1" applyAlignment="1">
      <alignment horizontal="center" vertical="center" wrapText="1"/>
    </xf>
    <xf numFmtId="17" fontId="28" fillId="16" borderId="98" xfId="6" applyNumberFormat="1" applyFont="1" applyFill="1" applyBorder="1" applyAlignment="1">
      <alignment horizontal="center" vertical="center" wrapText="1"/>
    </xf>
    <xf numFmtId="17" fontId="28" fillId="16" borderId="25" xfId="6" applyNumberFormat="1" applyFont="1" applyFill="1" applyBorder="1" applyAlignment="1">
      <alignment horizontal="center" vertical="center" wrapText="1"/>
    </xf>
    <xf numFmtId="0" fontId="14" fillId="24" borderId="1" xfId="6" applyFont="1" applyFill="1" applyBorder="1" applyAlignment="1">
      <alignment horizontal="center" vertical="center"/>
    </xf>
    <xf numFmtId="0" fontId="14" fillId="24" borderId="2" xfId="6" applyFont="1" applyFill="1" applyBorder="1" applyAlignment="1">
      <alignment horizontal="center" vertical="center"/>
    </xf>
    <xf numFmtId="0" fontId="14" fillId="24" borderId="30" xfId="6" applyFont="1" applyFill="1" applyBorder="1" applyAlignment="1">
      <alignment horizontal="center" vertical="center"/>
    </xf>
    <xf numFmtId="17" fontId="14" fillId="9" borderId="99" xfId="6" applyNumberFormat="1" applyFont="1" applyFill="1" applyBorder="1" applyAlignment="1">
      <alignment horizontal="center" vertical="center"/>
    </xf>
    <xf numFmtId="17" fontId="14" fillId="9" borderId="102" xfId="6" applyNumberFormat="1" applyFont="1" applyFill="1" applyBorder="1" applyAlignment="1">
      <alignment horizontal="center" vertical="center"/>
    </xf>
    <xf numFmtId="17" fontId="14" fillId="9" borderId="100" xfId="6" applyNumberFormat="1" applyFont="1" applyFill="1" applyBorder="1" applyAlignment="1">
      <alignment horizontal="center" vertical="center"/>
    </xf>
    <xf numFmtId="0" fontId="16" fillId="10" borderId="21" xfId="6" applyFont="1" applyFill="1" applyBorder="1" applyAlignment="1">
      <alignment horizontal="center" vertical="center" textRotation="90"/>
    </xf>
    <xf numFmtId="0" fontId="16" fillId="10" borderId="104" xfId="6" applyFont="1" applyFill="1" applyBorder="1" applyAlignment="1">
      <alignment horizontal="center" vertical="center" textRotation="90"/>
    </xf>
    <xf numFmtId="0" fontId="16" fillId="10" borderId="22" xfId="6" applyFont="1" applyFill="1" applyBorder="1" applyAlignment="1">
      <alignment horizontal="center" vertical="center" textRotation="90"/>
    </xf>
    <xf numFmtId="0" fontId="17" fillId="3" borderId="103" xfId="6" applyFont="1" applyFill="1" applyBorder="1" applyAlignment="1">
      <alignment horizontal="center" vertical="center"/>
    </xf>
    <xf numFmtId="0" fontId="17" fillId="3" borderId="101" xfId="6" applyFont="1" applyFill="1" applyBorder="1" applyAlignment="1">
      <alignment horizontal="center" vertical="center"/>
    </xf>
    <xf numFmtId="0" fontId="18" fillId="0" borderId="1" xfId="6" applyFont="1" applyBorder="1" applyAlignment="1">
      <alignment horizontal="center" vertical="center"/>
    </xf>
    <xf numFmtId="0" fontId="18" fillId="0" borderId="30" xfId="6" applyFont="1" applyBorder="1" applyAlignment="1">
      <alignment horizontal="center" vertical="center"/>
    </xf>
    <xf numFmtId="0" fontId="16" fillId="10" borderId="108" xfId="6" applyFont="1" applyFill="1" applyBorder="1" applyAlignment="1">
      <alignment horizontal="center" vertical="center" textRotation="90"/>
    </xf>
    <xf numFmtId="0" fontId="18" fillId="0" borderId="31" xfId="6" applyFont="1" applyBorder="1" applyAlignment="1">
      <alignment horizontal="center" vertical="center"/>
    </xf>
    <xf numFmtId="0" fontId="18" fillId="0" borderId="24" xfId="6" applyFont="1" applyBorder="1" applyAlignment="1">
      <alignment horizontal="center" vertical="center"/>
    </xf>
    <xf numFmtId="0" fontId="44" fillId="0" borderId="1" xfId="0" applyFont="1" applyBorder="1" applyAlignment="1">
      <alignment horizontal="center" vertical="center"/>
    </xf>
    <xf numFmtId="0" fontId="44" fillId="0" borderId="2" xfId="0" applyFont="1" applyBorder="1" applyAlignment="1">
      <alignment horizontal="center" vertical="center"/>
    </xf>
    <xf numFmtId="0" fontId="44" fillId="0" borderId="30" xfId="0" applyFont="1" applyBorder="1" applyAlignment="1">
      <alignment horizontal="center" vertical="center"/>
    </xf>
    <xf numFmtId="0" fontId="0" fillId="0" borderId="31" xfId="0" applyBorder="1" applyAlignment="1">
      <alignment horizontal="center" vertical="center" wrapText="1"/>
    </xf>
    <xf numFmtId="0" fontId="0" fillId="0" borderId="26" xfId="0" applyBorder="1" applyAlignment="1">
      <alignment horizontal="center" vertical="center" wrapText="1"/>
    </xf>
    <xf numFmtId="0" fontId="0" fillId="0" borderId="32" xfId="0" applyBorder="1" applyAlignment="1">
      <alignment horizontal="center" vertical="center" wrapText="1"/>
    </xf>
    <xf numFmtId="3" fontId="37" fillId="0" borderId="24" xfId="0" applyNumberFormat="1" applyFont="1" applyBorder="1" applyAlignment="1">
      <alignment horizontal="center" vertical="center"/>
    </xf>
    <xf numFmtId="3" fontId="37" fillId="0" borderId="34" xfId="0" applyNumberFormat="1" applyFont="1" applyBorder="1" applyAlignment="1">
      <alignment horizontal="center" vertical="center"/>
    </xf>
    <xf numFmtId="3" fontId="37" fillId="32" borderId="34" xfId="0" applyNumberFormat="1" applyFont="1" applyFill="1" applyBorder="1" applyAlignment="1">
      <alignment horizontal="center" vertical="center"/>
    </xf>
    <xf numFmtId="3" fontId="37" fillId="0" borderId="5" xfId="0" applyNumberFormat="1" applyFont="1" applyBorder="1" applyAlignment="1">
      <alignment horizontal="center" vertical="center"/>
    </xf>
    <xf numFmtId="0" fontId="12" fillId="8" borderId="21" xfId="0" applyFont="1" applyFill="1" applyBorder="1" applyAlignment="1">
      <alignment horizontal="center" vertical="center" wrapText="1"/>
    </xf>
    <xf numFmtId="0" fontId="11" fillId="6" borderId="31" xfId="0" applyFont="1" applyFill="1" applyBorder="1" applyAlignment="1">
      <alignment horizontal="center" vertical="center"/>
    </xf>
    <xf numFmtId="0" fontId="47" fillId="8" borderId="21" xfId="0" applyFont="1" applyFill="1" applyBorder="1" applyAlignment="1">
      <alignment horizontal="center" vertical="center" wrapText="1"/>
    </xf>
    <xf numFmtId="0" fontId="47" fillId="8" borderId="108" xfId="0" applyFont="1" applyFill="1" applyBorder="1" applyAlignment="1">
      <alignment horizontal="center" vertical="center"/>
    </xf>
    <xf numFmtId="0" fontId="19" fillId="0" borderId="1" xfId="6" applyFont="1" applyBorder="1" applyAlignment="1">
      <alignment horizontal="center" vertical="center"/>
    </xf>
    <xf numFmtId="0" fontId="19" fillId="0" borderId="2" xfId="6" applyFont="1" applyBorder="1" applyAlignment="1">
      <alignment horizontal="center" vertical="center"/>
    </xf>
    <xf numFmtId="0" fontId="19" fillId="0" borderId="30" xfId="6" applyFont="1" applyBorder="1" applyAlignment="1">
      <alignment horizontal="center" vertical="center"/>
    </xf>
    <xf numFmtId="17" fontId="19" fillId="9" borderId="1" xfId="6" applyNumberFormat="1" applyFont="1" applyFill="1" applyBorder="1" applyAlignment="1">
      <alignment horizontal="center" vertical="center"/>
    </xf>
    <xf numFmtId="17" fontId="19" fillId="9" borderId="2" xfId="6" applyNumberFormat="1" applyFont="1" applyFill="1" applyBorder="1" applyAlignment="1">
      <alignment horizontal="center" vertical="center"/>
    </xf>
    <xf numFmtId="17" fontId="19" fillId="9" borderId="30" xfId="6" applyNumberFormat="1" applyFont="1" applyFill="1" applyBorder="1" applyAlignment="1">
      <alignment horizontal="center" vertical="center"/>
    </xf>
    <xf numFmtId="0" fontId="17" fillId="0" borderId="35" xfId="6" applyFont="1" applyBorder="1" applyAlignment="1">
      <alignment horizontal="center" vertical="center"/>
    </xf>
    <xf numFmtId="0" fontId="17" fillId="13" borderId="2" xfId="6" applyFont="1" applyFill="1" applyBorder="1" applyAlignment="1">
      <alignment horizontal="center" vertical="center"/>
    </xf>
    <xf numFmtId="0" fontId="17" fillId="13" borderId="30" xfId="6" applyFont="1" applyFill="1" applyBorder="1" applyAlignment="1">
      <alignment horizontal="center" vertical="center"/>
    </xf>
    <xf numFmtId="0" fontId="24" fillId="14" borderId="23" xfId="6" applyFont="1" applyFill="1" applyBorder="1" applyAlignment="1">
      <alignment horizontal="center" vertical="center"/>
    </xf>
    <xf numFmtId="0" fontId="24" fillId="14" borderId="24" xfId="6" applyFont="1" applyFill="1" applyBorder="1" applyAlignment="1">
      <alignment horizontal="center" vertical="center"/>
    </xf>
    <xf numFmtId="17" fontId="26" fillId="17" borderId="31" xfId="6" applyNumberFormat="1" applyFont="1" applyFill="1" applyBorder="1" applyAlignment="1">
      <alignment horizontal="center" vertical="center" textRotation="90" wrapText="1"/>
    </xf>
    <xf numFmtId="17" fontId="26" fillId="17" borderId="26" xfId="6" applyNumberFormat="1" applyFont="1" applyFill="1" applyBorder="1" applyAlignment="1">
      <alignment horizontal="center" vertical="center" textRotation="90" wrapText="1"/>
    </xf>
    <xf numFmtId="17" fontId="26" fillId="17" borderId="32" xfId="6" applyNumberFormat="1" applyFont="1" applyFill="1" applyBorder="1" applyAlignment="1">
      <alignment horizontal="center" vertical="center" textRotation="90" wrapText="1"/>
    </xf>
    <xf numFmtId="0" fontId="17" fillId="17" borderId="39" xfId="6" applyFont="1" applyFill="1" applyBorder="1" applyAlignment="1">
      <alignment horizontal="center" vertical="center" wrapText="1"/>
    </xf>
    <xf numFmtId="0" fontId="17" fillId="17" borderId="11" xfId="6" applyFont="1" applyFill="1" applyBorder="1" applyAlignment="1">
      <alignment horizontal="center" vertical="center" wrapText="1"/>
    </xf>
    <xf numFmtId="0" fontId="17" fillId="18" borderId="35" xfId="6" applyFont="1" applyFill="1" applyBorder="1" applyAlignment="1">
      <alignment horizontal="center" vertical="center" wrapText="1"/>
    </xf>
    <xf numFmtId="0" fontId="17" fillId="18" borderId="12" xfId="6" applyFont="1" applyFill="1" applyBorder="1" applyAlignment="1">
      <alignment horizontal="center" vertical="center" wrapText="1"/>
    </xf>
    <xf numFmtId="0" fontId="31" fillId="0" borderId="41" xfId="6" applyFont="1" applyBorder="1" applyAlignment="1">
      <alignment horizontal="center" vertical="center"/>
    </xf>
    <xf numFmtId="0" fontId="31" fillId="0" borderId="40" xfId="6" applyFont="1" applyBorder="1" applyAlignment="1">
      <alignment horizontal="center" vertical="center"/>
    </xf>
    <xf numFmtId="0" fontId="31" fillId="0" borderId="15" xfId="6" applyFont="1" applyBorder="1" applyAlignment="1">
      <alignment horizontal="center" vertical="center"/>
    </xf>
    <xf numFmtId="0" fontId="31" fillId="0" borderId="42" xfId="6" applyFont="1" applyBorder="1" applyAlignment="1">
      <alignment horizontal="center" vertical="center"/>
    </xf>
    <xf numFmtId="17" fontId="26" fillId="19" borderId="46" xfId="6" applyNumberFormat="1" applyFont="1" applyFill="1" applyBorder="1" applyAlignment="1">
      <alignment horizontal="center" vertical="center" textRotation="90" wrapText="1"/>
    </xf>
    <xf numFmtId="17" fontId="26" fillId="19" borderId="47" xfId="6" applyNumberFormat="1" applyFont="1" applyFill="1" applyBorder="1" applyAlignment="1">
      <alignment horizontal="center" vertical="center" textRotation="90" wrapText="1"/>
    </xf>
    <xf numFmtId="17" fontId="26" fillId="19" borderId="48" xfId="6" applyNumberFormat="1" applyFont="1" applyFill="1" applyBorder="1" applyAlignment="1">
      <alignment horizontal="center" vertical="center" textRotation="90" wrapText="1"/>
    </xf>
    <xf numFmtId="0" fontId="17" fillId="19" borderId="39" xfId="6" applyFont="1" applyFill="1" applyBorder="1" applyAlignment="1">
      <alignment horizontal="center" vertical="center" wrapText="1"/>
    </xf>
    <xf numFmtId="0" fontId="17" fillId="19" borderId="11" xfId="6" applyFont="1" applyFill="1" applyBorder="1" applyAlignment="1">
      <alignment horizontal="center" vertical="center" wrapText="1"/>
    </xf>
    <xf numFmtId="0" fontId="17" fillId="10" borderId="44" xfId="6" applyFont="1" applyFill="1" applyBorder="1" applyAlignment="1">
      <alignment horizontal="center" vertical="center" wrapText="1"/>
    </xf>
    <xf numFmtId="0" fontId="17" fillId="10" borderId="43" xfId="6" applyFont="1" applyFill="1" applyBorder="1" applyAlignment="1">
      <alignment horizontal="center" vertical="center" wrapText="1"/>
    </xf>
    <xf numFmtId="0" fontId="17" fillId="10" borderId="45" xfId="6" applyFont="1" applyFill="1" applyBorder="1" applyAlignment="1">
      <alignment horizontal="center" vertical="center" wrapText="1"/>
    </xf>
    <xf numFmtId="0" fontId="8" fillId="0" borderId="121" xfId="1" applyFill="1" applyBorder="1" applyAlignment="1">
      <alignment horizontal="center" vertical="center"/>
    </xf>
    <xf numFmtId="0" fontId="8" fillId="0" borderId="18" xfId="1" applyFill="1" applyBorder="1" applyAlignment="1">
      <alignment horizontal="center" vertical="center"/>
    </xf>
    <xf numFmtId="0" fontId="8" fillId="0" borderId="122" xfId="1" applyFill="1" applyBorder="1" applyAlignment="1">
      <alignment horizontal="center" vertical="center"/>
    </xf>
    <xf numFmtId="17" fontId="7" fillId="37" borderId="108" xfId="0" applyNumberFormat="1" applyFont="1" applyFill="1" applyBorder="1" applyAlignment="1">
      <alignment horizontal="center"/>
    </xf>
  </cellXfs>
  <cellStyles count="9">
    <cellStyle name="Normal" xfId="0" builtinId="0"/>
    <cellStyle name="Normal 2" xfId="2" xr:uid="{8A48BA2C-D4EB-4D51-B14E-E00928E7AD63}"/>
    <cellStyle name="Normal 2 2" xfId="7" xr:uid="{364AC2AF-6746-4757-ADBD-DBBD71C22F08}"/>
    <cellStyle name="Normal 3" xfId="1" xr:uid="{66F9CE35-5E64-4F63-9DAF-7C1BB769D4C1}"/>
    <cellStyle name="Normal 3 2" xfId="4" xr:uid="{FC140877-B85C-4D4C-9C79-84D6C0246A1C}"/>
    <cellStyle name="Normal 4" xfId="6" xr:uid="{98B2A89B-FEBC-4AF5-A424-A403738C8CA5}"/>
    <cellStyle name="Normal 5" xfId="8" xr:uid="{35AC3DAE-CC95-4716-98C1-B4B62E84F654}"/>
    <cellStyle name="Porcentaje 2" xfId="3" xr:uid="{2C71BB98-7705-4A7E-B3EA-EE3D17F5F401}"/>
    <cellStyle name="Porcentaje 2 2" xfId="5" xr:uid="{48DB65A9-4043-4AF7-81CA-95DF401EA626}"/>
  </cellStyles>
  <dxfs count="85">
    <dxf>
      <border outline="0">
        <top style="thin">
          <color rgb="FF000000"/>
        </top>
      </border>
    </dxf>
    <dxf>
      <border outline="0">
        <bottom style="thin">
          <color rgb="FF000000"/>
        </bottom>
      </border>
    </dxf>
    <dxf>
      <border outline="0">
        <left style="medium">
          <color rgb="FF000000"/>
        </left>
        <right style="medium">
          <color rgb="FF000000"/>
        </right>
        <top style="thin">
          <color rgb="FF000000"/>
        </top>
        <bottom style="medium">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theme="1"/>
        <name val="Calibri"/>
        <family val="2"/>
        <scheme val="minor"/>
      </font>
      <numFmt numFmtId="3" formatCode="#,##0"/>
      <alignment horizontal="center" vertical="bottom" textRotation="0" wrapText="0" indent="0" justifyLastLine="0" shrinkToFit="0" readingOrder="0"/>
      <border diagonalUp="0" diagonalDown="0">
        <left style="medium">
          <color indexed="64"/>
        </left>
        <right style="medium">
          <color indexed="64"/>
        </right>
        <top style="thin">
          <color indexed="64"/>
        </top>
        <bottom style="thin">
          <color indexed="64"/>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medium">
          <color indexed="64"/>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left style="thin">
          <color indexed="8"/>
        </left>
        <right style="thin">
          <color indexed="8"/>
        </right>
        <top style="thin">
          <color indexed="8"/>
        </top>
        <bottom style="thin">
          <color indexed="8"/>
        </bottom>
        <vertical/>
        <horizontal/>
      </border>
    </dxf>
    <dxf>
      <fill>
        <patternFill patternType="solid">
          <fgColor indexed="64"/>
          <bgColor theme="0"/>
        </patternFill>
      </fill>
      <alignment horizontal="center" vertical="center" textRotation="0" wrapText="0" indent="0" justifyLastLine="0" shrinkToFit="0" readingOrder="0"/>
      <border diagonalUp="0" diagonalDown="0" outline="0">
        <left/>
        <right style="thin">
          <color indexed="8"/>
        </right>
        <top style="thin">
          <color indexed="8"/>
        </top>
        <bottom style="thin">
          <color indexed="8"/>
        </bottom>
      </border>
    </dxf>
    <dxf>
      <font>
        <b/>
        <i val="0"/>
        <strike val="0"/>
        <condense val="0"/>
        <extend val="0"/>
        <outline val="0"/>
        <shadow val="0"/>
        <u val="none"/>
        <vertAlign val="baseline"/>
        <sz val="10"/>
        <color auto="1"/>
        <name val="Arial"/>
        <family val="2"/>
        <scheme val="none"/>
      </font>
      <numFmt numFmtId="22" formatCode="mmm\-yy"/>
      <fill>
        <patternFill patternType="solid">
          <fgColor rgb="FFFFFFCC"/>
          <bgColor theme="8" tint="0.79998168889431442"/>
        </patternFill>
      </fill>
      <alignment horizontal="center" vertical="bottom" textRotation="0" wrapText="0" indent="0" justifyLastLine="0" shrinkToFit="0" readingOrder="0"/>
      <border diagonalUp="0" diagonalDown="0" outline="0">
        <left/>
        <right/>
        <top style="thin">
          <color indexed="64"/>
        </top>
        <bottom style="thin">
          <color indexed="64"/>
        </bottom>
      </border>
    </dxf>
    <dxf>
      <border outline="0">
        <left style="medium">
          <color indexed="64"/>
        </left>
        <right style="medium">
          <color indexed="64"/>
        </right>
        <bottom style="medium">
          <color indexed="64"/>
        </bottom>
      </border>
    </dxf>
    <dxf>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0"/>
        <color auto="1"/>
        <name val="Arial"/>
        <family val="2"/>
        <scheme val="none"/>
      </font>
      <fill>
        <patternFill patternType="solid">
          <fgColor rgb="FFFFFFCC"/>
          <bgColor theme="8" tint="0.79998168889431442"/>
        </patternFill>
      </fill>
      <alignment horizontal="center" vertical="center" textRotation="0" wrapText="0" indent="0" justifyLastLine="0" shrinkToFit="0" readingOrder="0"/>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rgb="FF000000"/>
        </top>
      </border>
    </dxf>
    <dxf>
      <border outline="0">
        <left style="medium">
          <color rgb="FF000000"/>
        </left>
        <right style="medium">
          <color rgb="FF000000"/>
        </right>
        <top style="thin">
          <color rgb="FF000000"/>
        </top>
        <bottom style="medium">
          <color rgb="FF000000"/>
        </bottom>
      </border>
    </dxf>
    <dxf>
      <border outline="0">
        <bottom style="thin">
          <color rgb="FF000000"/>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left style="medium">
          <color indexed="64"/>
        </left>
        <right style="medium">
          <color indexed="64"/>
        </right>
        <top style="thin">
          <color indexed="64"/>
        </top>
        <bottom style="medium">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2"/>
        <color auto="1"/>
        <name val="Arial"/>
        <family val="2"/>
        <scheme val="none"/>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font>
        <b/>
        <i val="0"/>
        <strike val="0"/>
        <condense val="0"/>
        <extend val="0"/>
        <outline val="0"/>
        <shadow val="0"/>
        <u val="none"/>
        <vertAlign val="baseline"/>
        <sz val="14"/>
        <color indexed="9"/>
        <name val="Arial"/>
        <family val="2"/>
        <scheme val="none"/>
      </font>
      <fill>
        <patternFill patternType="solid">
          <fgColor indexed="64"/>
          <bgColor indexed="57"/>
        </patternFill>
      </fill>
      <alignment horizontal="center" vertical="center" textRotation="0" wrapText="0" indent="0" justifyLastLine="0" shrinkToFit="0" readingOrder="0"/>
      <border diagonalUp="0" diagonalDown="0">
        <left style="thick">
          <color indexed="64"/>
        </left>
        <right/>
        <top style="thin">
          <color indexed="64"/>
        </top>
        <bottom style="thin">
          <color indexed="64"/>
        </bottom>
        <vertical/>
        <horizontal/>
      </border>
    </dxf>
    <dxf>
      <border outline="0">
        <top style="medium">
          <color indexed="64"/>
        </top>
        <bottom style="medium">
          <color indexed="64"/>
        </bottom>
      </border>
    </dxf>
    <dxf>
      <border outline="0">
        <bottom style="medium">
          <color indexed="64"/>
        </bottom>
      </border>
    </dxf>
  </dxfs>
  <tableStyles count="0" defaultTableStyle="TableStyleMedium2" defaultPivotStyle="PivotStyleLight16"/>
  <colors>
    <mruColors>
      <color rgb="FFD1B2E8"/>
      <color rgb="FFF9AC9D"/>
      <color rgb="FFAA72D4"/>
      <color rgb="FFF6856E"/>
      <color rgb="FF71B8FF"/>
      <color rgb="FF003366"/>
      <color rgb="FF3399FF"/>
      <color rgb="FFFBC6B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ES" b="1"/>
              <a:t>HISTÓRICO CIRCULACIONES ANUAL ALBALI</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4.6620834842126938E-2"/>
          <c:y val="0.1126522406150504"/>
          <c:w val="0.86643289458220707"/>
          <c:h val="0.76497488037619155"/>
        </c:manualLayout>
      </c:layout>
      <c:barChart>
        <c:barDir val="col"/>
        <c:grouping val="clustered"/>
        <c:varyColors val="0"/>
        <c:ser>
          <c:idx val="0"/>
          <c:order val="0"/>
          <c:tx>
            <c:strRef>
              <c:f>Comparativa!$C$3</c:f>
              <c:strCache>
                <c:ptCount val="1"/>
                <c:pt idx="0">
                  <c:v>CIRCULACIONES</c:v>
                </c:pt>
              </c:strCache>
            </c:strRef>
          </c:tx>
          <c:spPr>
            <a:solidFill>
              <a:schemeClr val="accent1"/>
            </a:solidFill>
            <a:ln>
              <a:noFill/>
            </a:ln>
            <a:effectLst/>
          </c:spPr>
          <c:invertIfNegative val="0"/>
          <c:dPt>
            <c:idx val="9"/>
            <c:invertIfNegative val="0"/>
            <c:bubble3D val="0"/>
            <c:spPr>
              <a:solidFill>
                <a:schemeClr val="accent5">
                  <a:lumMod val="40000"/>
                  <a:lumOff val="60000"/>
                </a:schemeClr>
              </a:solidFill>
              <a:ln>
                <a:noFill/>
              </a:ln>
              <a:effectLst/>
            </c:spPr>
            <c:extLst>
              <c:ext xmlns:c16="http://schemas.microsoft.com/office/drawing/2014/chart" uri="{C3380CC4-5D6E-409C-BE32-E72D297353CC}">
                <c16:uniqueId val="{00000000-40F6-4215-97D9-20B33252CC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Comparativa!$B$4:$B$13</c:f>
              <c:strCache>
                <c:ptCount val="10"/>
                <c:pt idx="0">
                  <c:v>Año1</c:v>
                </c:pt>
                <c:pt idx="1">
                  <c:v>Año2</c:v>
                </c:pt>
                <c:pt idx="2">
                  <c:v>Año3</c:v>
                </c:pt>
                <c:pt idx="3">
                  <c:v>Año4</c:v>
                </c:pt>
                <c:pt idx="4">
                  <c:v>Año5</c:v>
                </c:pt>
                <c:pt idx="5">
                  <c:v>Año6</c:v>
                </c:pt>
                <c:pt idx="6">
                  <c:v>Año7</c:v>
                </c:pt>
                <c:pt idx="7">
                  <c:v>Año8</c:v>
                </c:pt>
                <c:pt idx="8">
                  <c:v>Año9</c:v>
                </c:pt>
                <c:pt idx="9">
                  <c:v>Año10 **</c:v>
                </c:pt>
              </c:strCache>
            </c:strRef>
          </c:cat>
          <c:val>
            <c:numRef>
              <c:f>Comparativa!$C$4:$C$13</c:f>
              <c:numCache>
                <c:formatCode>General</c:formatCode>
                <c:ptCount val="10"/>
                <c:pt idx="0">
                  <c:v>6281</c:v>
                </c:pt>
                <c:pt idx="1">
                  <c:v>7592</c:v>
                </c:pt>
                <c:pt idx="2">
                  <c:v>7390</c:v>
                </c:pt>
                <c:pt idx="3">
                  <c:v>6810</c:v>
                </c:pt>
                <c:pt idx="4">
                  <c:v>7026</c:v>
                </c:pt>
                <c:pt idx="5">
                  <c:v>7364</c:v>
                </c:pt>
                <c:pt idx="6">
                  <c:v>7258</c:v>
                </c:pt>
                <c:pt idx="7">
                  <c:v>6254</c:v>
                </c:pt>
                <c:pt idx="8">
                  <c:v>8548</c:v>
                </c:pt>
                <c:pt idx="9" formatCode="0">
                  <c:v>11910</c:v>
                </c:pt>
              </c:numCache>
            </c:numRef>
          </c:val>
          <c:extLst>
            <c:ext xmlns:c16="http://schemas.microsoft.com/office/drawing/2014/chart" uri="{C3380CC4-5D6E-409C-BE32-E72D297353CC}">
              <c16:uniqueId val="{00000000-223A-4E9D-88EE-0F029E57F6F0}"/>
            </c:ext>
          </c:extLst>
        </c:ser>
        <c:dLbls>
          <c:showLegendKey val="0"/>
          <c:showVal val="0"/>
          <c:showCatName val="0"/>
          <c:showSerName val="0"/>
          <c:showPercent val="0"/>
          <c:showBubbleSize val="0"/>
        </c:dLbls>
        <c:gapWidth val="150"/>
        <c:axId val="663547248"/>
        <c:axId val="663543640"/>
      </c:barChart>
      <c:scatterChart>
        <c:scatterStyle val="lineMarker"/>
        <c:varyColors val="0"/>
        <c:ser>
          <c:idx val="1"/>
          <c:order val="1"/>
          <c:tx>
            <c:strRef>
              <c:f>Comparativa!$D$3</c:f>
              <c:strCache>
                <c:ptCount val="1"/>
                <c:pt idx="0">
                  <c:v>   ∆ % año 1</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strRef>
              <c:f>Comparativa!$B$5:$B$14</c:f>
              <c:strCache>
                <c:ptCount val="10"/>
                <c:pt idx="0">
                  <c:v>Año2</c:v>
                </c:pt>
                <c:pt idx="1">
                  <c:v>Año3</c:v>
                </c:pt>
                <c:pt idx="2">
                  <c:v>Año4</c:v>
                </c:pt>
                <c:pt idx="3">
                  <c:v>Año5</c:v>
                </c:pt>
                <c:pt idx="4">
                  <c:v>Año6</c:v>
                </c:pt>
                <c:pt idx="5">
                  <c:v>Año7</c:v>
                </c:pt>
                <c:pt idx="6">
                  <c:v>Año8</c:v>
                </c:pt>
                <c:pt idx="7">
                  <c:v>Año9</c:v>
                </c:pt>
                <c:pt idx="8">
                  <c:v>Año10 **</c:v>
                </c:pt>
                <c:pt idx="9">
                  <c:v>Año11</c:v>
                </c:pt>
              </c:strCache>
            </c:strRef>
          </c:xVal>
          <c:yVal>
            <c:numRef>
              <c:f>Comparativa!$D$4:$D$13</c:f>
              <c:numCache>
                <c:formatCode>0.00%</c:formatCode>
                <c:ptCount val="10"/>
                <c:pt idx="0" formatCode="General">
                  <c:v>0</c:v>
                </c:pt>
                <c:pt idx="1">
                  <c:v>0.20872472536220354</c:v>
                </c:pt>
                <c:pt idx="2">
                  <c:v>0.17656424136284032</c:v>
                </c:pt>
                <c:pt idx="3">
                  <c:v>8.4222257602292627E-2</c:v>
                </c:pt>
                <c:pt idx="4">
                  <c:v>0.11861168603725525</c:v>
                </c:pt>
                <c:pt idx="5">
                  <c:v>0.17242477312529858</c:v>
                </c:pt>
                <c:pt idx="6">
                  <c:v>0.15554847954147433</c:v>
                </c:pt>
                <c:pt idx="7">
                  <c:v>-4.2986785543702721E-3</c:v>
                </c:pt>
                <c:pt idx="8">
                  <c:v>0.36092978825027866</c:v>
                </c:pt>
                <c:pt idx="9">
                  <c:v>0.89619487342779802</c:v>
                </c:pt>
              </c:numCache>
            </c:numRef>
          </c:yVal>
          <c:smooth val="0"/>
          <c:extLst>
            <c:ext xmlns:c16="http://schemas.microsoft.com/office/drawing/2014/chart" uri="{C3380CC4-5D6E-409C-BE32-E72D297353CC}">
              <c16:uniqueId val="{00000001-223A-4E9D-88EE-0F029E57F6F0}"/>
            </c:ext>
          </c:extLst>
        </c:ser>
        <c:ser>
          <c:idx val="2"/>
          <c:order val="2"/>
          <c:tx>
            <c:strRef>
              <c:f>Comparativa!$E$3</c:f>
              <c:strCache>
                <c:ptCount val="1"/>
                <c:pt idx="0">
                  <c:v>∆ % año anterior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strRef>
              <c:f>Comparativa!$B$5:$B$14</c:f>
              <c:strCache>
                <c:ptCount val="10"/>
                <c:pt idx="0">
                  <c:v>Año2</c:v>
                </c:pt>
                <c:pt idx="1">
                  <c:v>Año3</c:v>
                </c:pt>
                <c:pt idx="2">
                  <c:v>Año4</c:v>
                </c:pt>
                <c:pt idx="3">
                  <c:v>Año5</c:v>
                </c:pt>
                <c:pt idx="4">
                  <c:v>Año6</c:v>
                </c:pt>
                <c:pt idx="5">
                  <c:v>Año7</c:v>
                </c:pt>
                <c:pt idx="6">
                  <c:v>Año8</c:v>
                </c:pt>
                <c:pt idx="7">
                  <c:v>Año9</c:v>
                </c:pt>
                <c:pt idx="8">
                  <c:v>Año10 **</c:v>
                </c:pt>
                <c:pt idx="9">
                  <c:v>Año11</c:v>
                </c:pt>
              </c:strCache>
            </c:strRef>
          </c:xVal>
          <c:yVal>
            <c:numRef>
              <c:f>Comparativa!$E$4:$E$13</c:f>
              <c:numCache>
                <c:formatCode>0.00%</c:formatCode>
                <c:ptCount val="10"/>
                <c:pt idx="0" formatCode="General">
                  <c:v>0</c:v>
                </c:pt>
                <c:pt idx="1">
                  <c:v>0.20872472536220354</c:v>
                </c:pt>
                <c:pt idx="2">
                  <c:v>-2.6606954689146423E-2</c:v>
                </c:pt>
                <c:pt idx="3">
                  <c:v>-7.8484438430311276E-2</c:v>
                </c:pt>
                <c:pt idx="4">
                  <c:v>3.1718061674008702E-2</c:v>
                </c:pt>
                <c:pt idx="5">
                  <c:v>4.8107031027611713E-2</c:v>
                </c:pt>
                <c:pt idx="6">
                  <c:v>-1.4394350896252073E-2</c:v>
                </c:pt>
                <c:pt idx="7">
                  <c:v>-0.13833011848994214</c:v>
                </c:pt>
                <c:pt idx="8">
                  <c:v>0.36680524464342823</c:v>
                </c:pt>
                <c:pt idx="9">
                  <c:v>0.39330837622835757</c:v>
                </c:pt>
              </c:numCache>
            </c:numRef>
          </c:yVal>
          <c:smooth val="0"/>
          <c:extLst>
            <c:ext xmlns:c16="http://schemas.microsoft.com/office/drawing/2014/chart" uri="{C3380CC4-5D6E-409C-BE32-E72D297353CC}">
              <c16:uniqueId val="{00000002-223A-4E9D-88EE-0F029E57F6F0}"/>
            </c:ext>
          </c:extLst>
        </c:ser>
        <c:dLbls>
          <c:showLegendKey val="0"/>
          <c:showVal val="0"/>
          <c:showCatName val="0"/>
          <c:showSerName val="0"/>
          <c:showPercent val="0"/>
          <c:showBubbleSize val="0"/>
        </c:dLbls>
        <c:axId val="663932128"/>
        <c:axId val="663933768"/>
      </c:scatterChart>
      <c:catAx>
        <c:axId val="663547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63543640"/>
        <c:crosses val="autoZero"/>
        <c:auto val="1"/>
        <c:lblAlgn val="ctr"/>
        <c:lblOffset val="100"/>
        <c:noMultiLvlLbl val="0"/>
      </c:catAx>
      <c:valAx>
        <c:axId val="663543640"/>
        <c:scaling>
          <c:orientation val="minMax"/>
          <c:max val="9000"/>
        </c:scaling>
        <c:delete val="0"/>
        <c:axPos val="l"/>
        <c:majorGridlines>
          <c:spPr>
            <a:ln w="12700" cap="rnd" cmpd="sng" algn="ctr">
              <a:solidFill>
                <a:schemeClr val="bg1">
                  <a:lumMod val="7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63547248"/>
        <c:crosses val="autoZero"/>
        <c:crossBetween val="between"/>
      </c:valAx>
      <c:valAx>
        <c:axId val="663933768"/>
        <c:scaling>
          <c:orientation val="minMax"/>
          <c:max val="0.30000000000000004"/>
          <c:min val="-0.25"/>
        </c:scaling>
        <c:delete val="0"/>
        <c:axPos val="r"/>
        <c:numFmt formatCode="0%" sourceLinked="0"/>
        <c:majorTickMark val="cross"/>
        <c:minorTickMark val="out"/>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63932128"/>
        <c:crosses val="max"/>
        <c:crossBetween val="midCat"/>
        <c:majorUnit val="5.000000000000001E-2"/>
        <c:minorUnit val="5.000000000000001E-2"/>
      </c:valAx>
      <c:valAx>
        <c:axId val="66393212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663933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2.png"/><Relationship Id="rId1" Type="http://schemas.openxmlformats.org/officeDocument/2006/relationships/image" Target="../media/image1.jpg"/><Relationship Id="rId5" Type="http://schemas.openxmlformats.org/officeDocument/2006/relationships/image" Target="../media/image3.png"/><Relationship Id="rId4"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_rels/drawing17.xml.rels><?xml version="1.0" encoding="UTF-8" standalone="yes"?>
<Relationships xmlns="http://schemas.openxmlformats.org/package/2006/relationships"><Relationship Id="rId1" Type="http://schemas.openxmlformats.org/officeDocument/2006/relationships/image" Target="../media/image1.jpg"/></Relationships>
</file>

<file path=xl/drawings/_rels/drawing18.xml.rels><?xml version="1.0" encoding="UTF-8" standalone="yes"?>
<Relationships xmlns="http://schemas.openxmlformats.org/package/2006/relationships"><Relationship Id="rId1" Type="http://schemas.openxmlformats.org/officeDocument/2006/relationships/image" Target="../media/image1.jpg"/></Relationships>
</file>

<file path=xl/drawings/_rels/drawing19.xml.rels><?xml version="1.0" encoding="UTF-8" standalone="yes"?>
<Relationships xmlns="http://schemas.openxmlformats.org/package/2006/relationships"><Relationship Id="rId1" Type="http://schemas.openxmlformats.org/officeDocument/2006/relationships/image" Target="../media/image1.jpg"/></Relationships>
</file>

<file path=xl/drawings/_rels/drawing20.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g"/></Relationships>
</file>

<file path=xl/drawings/_rels/drawing21.xml.rels><?xml version="1.0" encoding="UTF-8" standalone="yes"?>
<Relationships xmlns="http://schemas.openxmlformats.org/package/2006/relationships"><Relationship Id="rId3"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2" Type="http://schemas.openxmlformats.org/officeDocument/2006/relationships/image" Target="../media/image4.jpeg"/><Relationship Id="rId1" Type="http://schemas.openxmlformats.org/officeDocument/2006/relationships/image" Target="../media/image1.jpg"/><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jp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2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inecospain-my.sharepoint.com/:x:/r/personal/david_moreta_ineco_com/Documents/Calculo%20de%20Indices%20IISS+TELECO/1-%20SALAVE/240709-CALCULO%20INDICES-CPP_V2.3%20a%C3%B1o12.xlsm?d=wb32e82a361664a94b5868db6b79d15c7&amp;csf=1&amp;web=1&amp;e=v6m2Pt&amp;nav=MTVfezAwMDAwMDAwLTAwMDEtMDAwMC0wNTAwLTAwMDAwMDAwMDAwMH0" TargetMode="External"/><Relationship Id="rId1" Type="http://schemas.openxmlformats.org/officeDocument/2006/relationships/image" Target="../media/image1.jpg"/><Relationship Id="rId5" Type="http://schemas.microsoft.com/office/2007/relationships/hdphoto" Target="../media/hdphoto1.wdp"/><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2" Type="http://schemas.openxmlformats.org/officeDocument/2006/relationships/hyperlink" Target="https://ivandlpn.github.io/TelecoLavEste/Circulaciones/" TargetMode="External"/><Relationship Id="rId1" Type="http://schemas.openxmlformats.org/officeDocument/2006/relationships/image" Target="../media/image5.png"/></Relationships>
</file>

<file path=xl/drawings/_rels/drawing34.xml.rels><?xml version="1.0" encoding="UTF-8" standalone="yes"?>
<Relationships xmlns="http://schemas.openxmlformats.org/package/2006/relationships"><Relationship Id="rId3" Type="http://schemas.openxmlformats.org/officeDocument/2006/relationships/image" Target="../media/image7.jpg"/><Relationship Id="rId2" Type="http://schemas.openxmlformats.org/officeDocument/2006/relationships/image" Target="../media/image1.jpg"/><Relationship Id="rId1" Type="http://schemas.openxmlformats.org/officeDocument/2006/relationships/image" Target="../media/image6.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jpg"/></Relationships>
</file>

<file path=xl/drawings/drawing1.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136793</xdr:colOff>
      <xdr:row>5</xdr:row>
      <xdr:rowOff>207009</xdr:rowOff>
    </xdr:to>
    <xdr:pic>
      <xdr:nvPicPr>
        <xdr:cNvPr id="2" name="Imagen 1">
          <a:extLst>
            <a:ext uri="{FF2B5EF4-FFF2-40B4-BE49-F238E27FC236}">
              <a16:creationId xmlns:a16="http://schemas.microsoft.com/office/drawing/2014/main" id="{33C2B786-15AC-436D-A15E-117470BF243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34428" y="1267732"/>
          <a:ext cx="1532705" cy="524237"/>
        </a:xfrm>
        <a:prstGeom prst="rect">
          <a:avLst/>
        </a:prstGeom>
        <a:ln w="19050">
          <a:noFill/>
        </a:ln>
      </xdr:spPr>
    </xdr:pic>
    <xdr:clientData/>
  </xdr:twoCellAnchor>
  <xdr:twoCellAnchor editAs="oneCell">
    <xdr:from>
      <xdr:col>9</xdr:col>
      <xdr:colOff>295276</xdr:colOff>
      <xdr:row>14</xdr:row>
      <xdr:rowOff>86912</xdr:rowOff>
    </xdr:from>
    <xdr:to>
      <xdr:col>17</xdr:col>
      <xdr:colOff>58240</xdr:colOff>
      <xdr:row>19</xdr:row>
      <xdr:rowOff>58237</xdr:rowOff>
    </xdr:to>
    <xdr:pic macro="[0]!CorreoCirculacionesSALAVE">
      <xdr:nvPicPr>
        <xdr:cNvPr id="3" name="Imagen 2">
          <a:extLst>
            <a:ext uri="{FF2B5EF4-FFF2-40B4-BE49-F238E27FC236}">
              <a16:creationId xmlns:a16="http://schemas.microsoft.com/office/drawing/2014/main" id="{8A5806E3-FB68-4E27-8780-6BFAA1536217}"/>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3">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7283451" y="3855637"/>
          <a:ext cx="3419929" cy="11136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108857</xdr:colOff>
      <xdr:row>24</xdr:row>
      <xdr:rowOff>149679</xdr:rowOff>
    </xdr:from>
    <xdr:to>
      <xdr:col>14</xdr:col>
      <xdr:colOff>132261</xdr:colOff>
      <xdr:row>28</xdr:row>
      <xdr:rowOff>169908</xdr:rowOff>
    </xdr:to>
    <xdr:pic>
      <xdr:nvPicPr>
        <xdr:cNvPr id="4" name="Imagen 3">
          <a:hlinkClick xmlns:r="http://schemas.openxmlformats.org/officeDocument/2006/relationships" r:id="rId4"/>
          <a:extLst>
            <a:ext uri="{FF2B5EF4-FFF2-40B4-BE49-F238E27FC236}">
              <a16:creationId xmlns:a16="http://schemas.microsoft.com/office/drawing/2014/main" id="{2A10D1BA-CA6B-454A-B033-6823538DFDB5}"/>
            </a:ext>
          </a:extLst>
        </xdr:cNvPr>
        <xdr:cNvPicPr>
          <a:picLocks noChangeAspect="1"/>
        </xdr:cNvPicPr>
      </xdr:nvPicPr>
      <xdr:blipFill>
        <a:blip xmlns:r="http://schemas.openxmlformats.org/officeDocument/2006/relationships" r:embed="rId5"/>
        <a:stretch>
          <a:fillRect/>
        </a:stretch>
      </xdr:blipFill>
      <xdr:spPr>
        <a:xfrm>
          <a:off x="8468632" y="6207579"/>
          <a:ext cx="944789" cy="9384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5DEB4AA1-03C9-408A-9169-D969012A073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9321" y="445347"/>
          <a:ext cx="2227761" cy="803935"/>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4" name="Imagen 3">
          <a:hlinkClick xmlns:r="http://schemas.openxmlformats.org/officeDocument/2006/relationships" r:id="rId2"/>
          <a:extLst>
            <a:ext uri="{FF2B5EF4-FFF2-40B4-BE49-F238E27FC236}">
              <a16:creationId xmlns:a16="http://schemas.microsoft.com/office/drawing/2014/main" id="{C24E13C8-6CF3-4D97-8A06-70059A886876}"/>
            </a:ext>
          </a:extLst>
        </xdr:cNvPr>
        <xdr:cNvPicPr>
          <a:picLocks noChangeAspect="1"/>
        </xdr:cNvPicPr>
      </xdr:nvPicPr>
      <xdr:blipFill>
        <a:blip xmlns:r="http://schemas.openxmlformats.org/officeDocument/2006/relationships" r:embed="rId3"/>
        <a:stretch>
          <a:fillRect/>
        </a:stretch>
      </xdr:blipFill>
      <xdr:spPr>
        <a:xfrm>
          <a:off x="12089228" y="2874818"/>
          <a:ext cx="530213" cy="541211"/>
        </a:xfrm>
        <a:prstGeom prst="rect">
          <a:avLst/>
        </a:prstGeom>
      </xdr:spPr>
    </xdr:pic>
    <xdr:clientData/>
  </xdr:twoCellAnchor>
  <xdr:twoCellAnchor editAs="oneCell">
    <xdr:from>
      <xdr:col>3</xdr:col>
      <xdr:colOff>180205</xdr:colOff>
      <xdr:row>9</xdr:row>
      <xdr:rowOff>56802</xdr:rowOff>
    </xdr:from>
    <xdr:to>
      <xdr:col>7</xdr:col>
      <xdr:colOff>339140</xdr:colOff>
      <xdr:row>9</xdr:row>
      <xdr:rowOff>703684</xdr:rowOff>
    </xdr:to>
    <xdr:pic macro="[0]!CorreoCirculacionesSALAVE">
      <xdr:nvPicPr>
        <xdr:cNvPr id="5" name="Imagen 4">
          <a:extLst>
            <a:ext uri="{FF2B5EF4-FFF2-40B4-BE49-F238E27FC236}">
              <a16:creationId xmlns:a16="http://schemas.microsoft.com/office/drawing/2014/main" id="{0B14A87E-C858-918D-B152-013A8237262A}"/>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0410" y="2836370"/>
          <a:ext cx="1951366"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6</xdr:col>
      <xdr:colOff>787400</xdr:colOff>
      <xdr:row>1</xdr:row>
      <xdr:rowOff>9525</xdr:rowOff>
    </xdr:from>
    <xdr:to>
      <xdr:col>18</xdr:col>
      <xdr:colOff>114301</xdr:colOff>
      <xdr:row>22</xdr:row>
      <xdr:rowOff>38099</xdr:rowOff>
    </xdr:to>
    <xdr:graphicFrame macro="">
      <xdr:nvGraphicFramePr>
        <xdr:cNvPr id="2" name="Gráfico 1">
          <a:extLst>
            <a:ext uri="{FF2B5EF4-FFF2-40B4-BE49-F238E27FC236}">
              <a16:creationId xmlns:a16="http://schemas.microsoft.com/office/drawing/2014/main" id="{E75413CB-96E9-EB2A-CBC7-1F9029C265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135618</xdr:colOff>
      <xdr:row>4</xdr:row>
      <xdr:rowOff>33565</xdr:rowOff>
    </xdr:from>
    <xdr:to>
      <xdr:col>11</xdr:col>
      <xdr:colOff>222247</xdr:colOff>
      <xdr:row>5</xdr:row>
      <xdr:rowOff>254454</xdr:rowOff>
    </xdr:to>
    <xdr:pic>
      <xdr:nvPicPr>
        <xdr:cNvPr id="3" name="Imagen 2">
          <a:extLst>
            <a:ext uri="{FF2B5EF4-FFF2-40B4-BE49-F238E27FC236}">
              <a16:creationId xmlns:a16="http://schemas.microsoft.com/office/drawing/2014/main" id="{A703677B-D9AC-4A81-892F-A398FC2A451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49768" y="1849665"/>
          <a:ext cx="1545767" cy="516165"/>
        </a:xfrm>
        <a:prstGeom prst="rect">
          <a:avLst/>
        </a:prstGeom>
        <a:ln w="19050">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135618</xdr:colOff>
      <xdr:row>4</xdr:row>
      <xdr:rowOff>33565</xdr:rowOff>
    </xdr:from>
    <xdr:to>
      <xdr:col>11</xdr:col>
      <xdr:colOff>219072</xdr:colOff>
      <xdr:row>5</xdr:row>
      <xdr:rowOff>257629</xdr:rowOff>
    </xdr:to>
    <xdr:pic>
      <xdr:nvPicPr>
        <xdr:cNvPr id="2" name="Imagen 1">
          <a:extLst>
            <a:ext uri="{FF2B5EF4-FFF2-40B4-BE49-F238E27FC236}">
              <a16:creationId xmlns:a16="http://schemas.microsoft.com/office/drawing/2014/main" id="{E23AD5F3-3F38-48F4-9772-1ABA56D4CE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31418" y="1538515"/>
          <a:ext cx="1550304" cy="516164"/>
        </a:xfrm>
        <a:prstGeom prst="rect">
          <a:avLst/>
        </a:prstGeom>
        <a:ln w="19050">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xdr:col>
      <xdr:colOff>135618</xdr:colOff>
      <xdr:row>4</xdr:row>
      <xdr:rowOff>33565</xdr:rowOff>
    </xdr:from>
    <xdr:to>
      <xdr:col>11</xdr:col>
      <xdr:colOff>219072</xdr:colOff>
      <xdr:row>5</xdr:row>
      <xdr:rowOff>257629</xdr:rowOff>
    </xdr:to>
    <xdr:pic>
      <xdr:nvPicPr>
        <xdr:cNvPr id="2" name="Imagen 1">
          <a:extLst>
            <a:ext uri="{FF2B5EF4-FFF2-40B4-BE49-F238E27FC236}">
              <a16:creationId xmlns:a16="http://schemas.microsoft.com/office/drawing/2014/main" id="{A12D5421-88F3-480C-88E0-30264340799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1893" y="1544865"/>
          <a:ext cx="1553479" cy="519339"/>
        </a:xfrm>
        <a:prstGeom prst="rect">
          <a:avLst/>
        </a:prstGeom>
        <a:ln w="19050">
          <a:noFill/>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135618</xdr:colOff>
      <xdr:row>4</xdr:row>
      <xdr:rowOff>33565</xdr:rowOff>
    </xdr:from>
    <xdr:to>
      <xdr:col>11</xdr:col>
      <xdr:colOff>219072</xdr:colOff>
      <xdr:row>5</xdr:row>
      <xdr:rowOff>257629</xdr:rowOff>
    </xdr:to>
    <xdr:pic>
      <xdr:nvPicPr>
        <xdr:cNvPr id="2" name="Imagen 1">
          <a:extLst>
            <a:ext uri="{FF2B5EF4-FFF2-40B4-BE49-F238E27FC236}">
              <a16:creationId xmlns:a16="http://schemas.microsoft.com/office/drawing/2014/main" id="{A05E59FE-F537-4521-9A59-C8D3BBC5E11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1893" y="1544865"/>
          <a:ext cx="1550304" cy="522514"/>
        </a:xfrm>
        <a:prstGeom prst="rect">
          <a:avLst/>
        </a:prstGeom>
        <a:ln w="19050">
          <a:noFill/>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7</xdr:col>
      <xdr:colOff>135618</xdr:colOff>
      <xdr:row>4</xdr:row>
      <xdr:rowOff>33565</xdr:rowOff>
    </xdr:from>
    <xdr:to>
      <xdr:col>11</xdr:col>
      <xdr:colOff>287107</xdr:colOff>
      <xdr:row>5</xdr:row>
      <xdr:rowOff>254454</xdr:rowOff>
    </xdr:to>
    <xdr:pic>
      <xdr:nvPicPr>
        <xdr:cNvPr id="2" name="Imagen 1">
          <a:extLst>
            <a:ext uri="{FF2B5EF4-FFF2-40B4-BE49-F238E27FC236}">
              <a16:creationId xmlns:a16="http://schemas.microsoft.com/office/drawing/2014/main" id="{6D6800F9-8BAE-45F0-A279-F2BFF44ECA7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1893" y="1544865"/>
          <a:ext cx="1550304" cy="522514"/>
        </a:xfrm>
        <a:prstGeom prst="rect">
          <a:avLst/>
        </a:prstGeom>
        <a:ln w="19050">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7</xdr:col>
      <xdr:colOff>135618</xdr:colOff>
      <xdr:row>4</xdr:row>
      <xdr:rowOff>33565</xdr:rowOff>
    </xdr:from>
    <xdr:to>
      <xdr:col>11</xdr:col>
      <xdr:colOff>287107</xdr:colOff>
      <xdr:row>5</xdr:row>
      <xdr:rowOff>257629</xdr:rowOff>
    </xdr:to>
    <xdr:pic>
      <xdr:nvPicPr>
        <xdr:cNvPr id="2" name="Imagen 1">
          <a:extLst>
            <a:ext uri="{FF2B5EF4-FFF2-40B4-BE49-F238E27FC236}">
              <a16:creationId xmlns:a16="http://schemas.microsoft.com/office/drawing/2014/main" id="{202FEF6A-2F8D-4B8D-8EF4-B4360E3AD1F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1893" y="1544865"/>
          <a:ext cx="1542139" cy="519339"/>
        </a:xfrm>
        <a:prstGeom prst="rect">
          <a:avLst/>
        </a:prstGeom>
        <a:ln w="1905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7</xdr:col>
      <xdr:colOff>135618</xdr:colOff>
      <xdr:row>4</xdr:row>
      <xdr:rowOff>33565</xdr:rowOff>
    </xdr:from>
    <xdr:to>
      <xdr:col>11</xdr:col>
      <xdr:colOff>287107</xdr:colOff>
      <xdr:row>5</xdr:row>
      <xdr:rowOff>257629</xdr:rowOff>
    </xdr:to>
    <xdr:pic>
      <xdr:nvPicPr>
        <xdr:cNvPr id="2" name="Imagen 1">
          <a:extLst>
            <a:ext uri="{FF2B5EF4-FFF2-40B4-BE49-F238E27FC236}">
              <a16:creationId xmlns:a16="http://schemas.microsoft.com/office/drawing/2014/main" id="{CF1E35B1-A56C-4289-8D6D-0BF8A441853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1893" y="1544865"/>
          <a:ext cx="1542139" cy="522514"/>
        </a:xfrm>
        <a:prstGeom prst="rect">
          <a:avLst/>
        </a:prstGeom>
        <a:ln w="19050">
          <a:noFill/>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135618</xdr:colOff>
      <xdr:row>4</xdr:row>
      <xdr:rowOff>33565</xdr:rowOff>
    </xdr:from>
    <xdr:to>
      <xdr:col>11</xdr:col>
      <xdr:colOff>287107</xdr:colOff>
      <xdr:row>5</xdr:row>
      <xdr:rowOff>257629</xdr:rowOff>
    </xdr:to>
    <xdr:pic>
      <xdr:nvPicPr>
        <xdr:cNvPr id="2" name="Imagen 1">
          <a:extLst>
            <a:ext uri="{FF2B5EF4-FFF2-40B4-BE49-F238E27FC236}">
              <a16:creationId xmlns:a16="http://schemas.microsoft.com/office/drawing/2014/main" id="{6722AB7A-EC9B-4E51-A165-1C168A862C8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21893" y="1544865"/>
          <a:ext cx="1542139" cy="519339"/>
        </a:xfrm>
        <a:prstGeom prst="rect">
          <a:avLst/>
        </a:prstGeom>
        <a:ln w="19050">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5</xdr:col>
      <xdr:colOff>203653</xdr:colOff>
      <xdr:row>3</xdr:row>
      <xdr:rowOff>115207</xdr:rowOff>
    </xdr:from>
    <xdr:to>
      <xdr:col>8</xdr:col>
      <xdr:colOff>140603</xdr:colOff>
      <xdr:row>4</xdr:row>
      <xdr:rowOff>203199</xdr:rowOff>
    </xdr:to>
    <xdr:pic>
      <xdr:nvPicPr>
        <xdr:cNvPr id="2" name="Imagen 1">
          <a:extLst>
            <a:ext uri="{FF2B5EF4-FFF2-40B4-BE49-F238E27FC236}">
              <a16:creationId xmlns:a16="http://schemas.microsoft.com/office/drawing/2014/main" id="{9B6D4956-CA20-4AB8-8C25-8E89C4FCBC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97474" y="999671"/>
          <a:ext cx="1559375" cy="520246"/>
        </a:xfrm>
        <a:prstGeom prst="rect">
          <a:avLst/>
        </a:prstGeom>
        <a:ln w="19050">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203653</xdr:colOff>
      <xdr:row>3</xdr:row>
      <xdr:rowOff>115207</xdr:rowOff>
    </xdr:from>
    <xdr:to>
      <xdr:col>8</xdr:col>
      <xdr:colOff>140603</xdr:colOff>
      <xdr:row>4</xdr:row>
      <xdr:rowOff>203199</xdr:rowOff>
    </xdr:to>
    <xdr:pic>
      <xdr:nvPicPr>
        <xdr:cNvPr id="2" name="Imagen 1">
          <a:extLst>
            <a:ext uri="{FF2B5EF4-FFF2-40B4-BE49-F238E27FC236}">
              <a16:creationId xmlns:a16="http://schemas.microsoft.com/office/drawing/2014/main" id="{B38B8BF0-78CA-4B95-BD89-CA6572F119D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91578" y="991507"/>
          <a:ext cx="1553025" cy="513442"/>
        </a:xfrm>
        <a:prstGeom prst="rect">
          <a:avLst/>
        </a:prstGeom>
        <a:ln w="19050">
          <a:noFill/>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203653</xdr:colOff>
      <xdr:row>3</xdr:row>
      <xdr:rowOff>115207</xdr:rowOff>
    </xdr:from>
    <xdr:to>
      <xdr:col>8</xdr:col>
      <xdr:colOff>132983</xdr:colOff>
      <xdr:row>4</xdr:row>
      <xdr:rowOff>210819</xdr:rowOff>
    </xdr:to>
    <xdr:pic>
      <xdr:nvPicPr>
        <xdr:cNvPr id="2" name="Imagen 1">
          <a:extLst>
            <a:ext uri="{FF2B5EF4-FFF2-40B4-BE49-F238E27FC236}">
              <a16:creationId xmlns:a16="http://schemas.microsoft.com/office/drawing/2014/main" id="{C79D4CFF-3D8B-46E4-BD4A-92B84135EEA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12838" y="981982"/>
          <a:ext cx="1510480" cy="520427"/>
        </a:xfrm>
        <a:prstGeom prst="rect">
          <a:avLst/>
        </a:prstGeom>
        <a:ln w="19050">
          <a:noFill/>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132983</xdr:colOff>
      <xdr:row>5</xdr:row>
      <xdr:rowOff>210820</xdr:rowOff>
    </xdr:to>
    <xdr:pic>
      <xdr:nvPicPr>
        <xdr:cNvPr id="2" name="Imagen 1">
          <a:extLst>
            <a:ext uri="{FF2B5EF4-FFF2-40B4-BE49-F238E27FC236}">
              <a16:creationId xmlns:a16="http://schemas.microsoft.com/office/drawing/2014/main" id="{2C77CA3B-BBD9-4EF1-A42A-81D3737FBA5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1103" y="991507"/>
          <a:ext cx="1532705" cy="524237"/>
        </a:xfrm>
        <a:prstGeom prst="rect">
          <a:avLst/>
        </a:prstGeom>
        <a:ln w="19050">
          <a:noFill/>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132983</xdr:colOff>
      <xdr:row>5</xdr:row>
      <xdr:rowOff>210820</xdr:rowOff>
    </xdr:to>
    <xdr:pic>
      <xdr:nvPicPr>
        <xdr:cNvPr id="2" name="Imagen 1">
          <a:extLst>
            <a:ext uri="{FF2B5EF4-FFF2-40B4-BE49-F238E27FC236}">
              <a16:creationId xmlns:a16="http://schemas.microsoft.com/office/drawing/2014/main" id="{EBF4033B-17B5-41CF-A557-2200D9FB53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1103" y="1524907"/>
          <a:ext cx="1532705" cy="524238"/>
        </a:xfrm>
        <a:prstGeom prst="rect">
          <a:avLst/>
        </a:prstGeom>
        <a:ln w="19050">
          <a:noFill/>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132983</xdr:colOff>
      <xdr:row>5</xdr:row>
      <xdr:rowOff>210820</xdr:rowOff>
    </xdr:to>
    <xdr:pic>
      <xdr:nvPicPr>
        <xdr:cNvPr id="2" name="Imagen 1">
          <a:extLst>
            <a:ext uri="{FF2B5EF4-FFF2-40B4-BE49-F238E27FC236}">
              <a16:creationId xmlns:a16="http://schemas.microsoft.com/office/drawing/2014/main" id="{FFE18AC1-38F8-476D-AF02-2D7F8625F4B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1103" y="1524907"/>
          <a:ext cx="1532705" cy="524238"/>
        </a:xfrm>
        <a:prstGeom prst="rect">
          <a:avLst/>
        </a:prstGeom>
        <a:ln w="19050">
          <a:noFill/>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132983</xdr:colOff>
      <xdr:row>5</xdr:row>
      <xdr:rowOff>210820</xdr:rowOff>
    </xdr:to>
    <xdr:pic>
      <xdr:nvPicPr>
        <xdr:cNvPr id="2" name="Imagen 1">
          <a:extLst>
            <a:ext uri="{FF2B5EF4-FFF2-40B4-BE49-F238E27FC236}">
              <a16:creationId xmlns:a16="http://schemas.microsoft.com/office/drawing/2014/main" id="{B005E0E3-795C-4708-9228-2C55382D41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1103" y="1524907"/>
          <a:ext cx="1532705" cy="524238"/>
        </a:xfrm>
        <a:prstGeom prst="rect">
          <a:avLst/>
        </a:prstGeom>
        <a:ln w="19050">
          <a:noFill/>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132983</xdr:colOff>
      <xdr:row>5</xdr:row>
      <xdr:rowOff>210819</xdr:rowOff>
    </xdr:to>
    <xdr:pic>
      <xdr:nvPicPr>
        <xdr:cNvPr id="2" name="Imagen 1">
          <a:extLst>
            <a:ext uri="{FF2B5EF4-FFF2-40B4-BE49-F238E27FC236}">
              <a16:creationId xmlns:a16="http://schemas.microsoft.com/office/drawing/2014/main" id="{39BB0196-4943-49A0-BFCD-D4DD78BB481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94753" y="1524907"/>
          <a:ext cx="1529530" cy="521063"/>
        </a:xfrm>
        <a:prstGeom prst="rect">
          <a:avLst/>
        </a:prstGeom>
        <a:ln w="19050">
          <a:noFill/>
        </a:ln>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132983</xdr:colOff>
      <xdr:row>5</xdr:row>
      <xdr:rowOff>210819</xdr:rowOff>
    </xdr:to>
    <xdr:pic>
      <xdr:nvPicPr>
        <xdr:cNvPr id="2" name="Imagen 1">
          <a:extLst>
            <a:ext uri="{FF2B5EF4-FFF2-40B4-BE49-F238E27FC236}">
              <a16:creationId xmlns:a16="http://schemas.microsoft.com/office/drawing/2014/main" id="{0016FD50-0672-4AD4-B3CB-0CCDD979FFE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94753" y="1378857"/>
          <a:ext cx="1529530" cy="521062"/>
        </a:xfrm>
        <a:prstGeom prst="rect">
          <a:avLst/>
        </a:prstGeom>
        <a:ln w="19050">
          <a:noFill/>
        </a:ln>
      </xdr:spPr>
    </xdr:pic>
    <xdr:clientData/>
  </xdr:twoCellAnchor>
  <xdr:twoCellAnchor editAs="oneCell">
    <xdr:from>
      <xdr:col>9</xdr:col>
      <xdr:colOff>312966</xdr:colOff>
      <xdr:row>13</xdr:row>
      <xdr:rowOff>95250</xdr:rowOff>
    </xdr:from>
    <xdr:to>
      <xdr:col>17</xdr:col>
      <xdr:colOff>435692</xdr:colOff>
      <xdr:row>18</xdr:row>
      <xdr:rowOff>180068</xdr:rowOff>
    </xdr:to>
    <xdr:pic macro="[0]!CorreoCirculacionesSALAVE">
      <xdr:nvPicPr>
        <xdr:cNvPr id="3" name="Imagen 2">
          <a:extLst>
            <a:ext uri="{FF2B5EF4-FFF2-40B4-BE49-F238E27FC236}">
              <a16:creationId xmlns:a16="http://schemas.microsoft.com/office/drawing/2014/main" id="{EF14C8EA-6F0B-480E-9D00-10AA37023DAE}"/>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duotone>
            <a:prstClr val="black"/>
            <a:srgbClr val="FF0000">
              <a:tint val="45000"/>
              <a:satMod val="400000"/>
            </a:srgbClr>
          </a:duotone>
          <a:extLst>
            <a:ext uri="{28A0092B-C50C-407E-A947-70E740481C1C}">
              <a14:useLocalDpi xmlns:a14="http://schemas.microsoft.com/office/drawing/2010/main" val="0"/>
            </a:ext>
          </a:extLst>
        </a:blip>
        <a:srcRect/>
        <a:stretch>
          <a:fillRect/>
        </a:stretch>
      </xdr:blipFill>
      <xdr:spPr bwMode="auto">
        <a:xfrm>
          <a:off x="7402287" y="3796393"/>
          <a:ext cx="3823869" cy="1241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132983</xdr:colOff>
      <xdr:row>5</xdr:row>
      <xdr:rowOff>210819</xdr:rowOff>
    </xdr:to>
    <xdr:pic>
      <xdr:nvPicPr>
        <xdr:cNvPr id="2" name="Imagen 1">
          <a:extLst>
            <a:ext uri="{FF2B5EF4-FFF2-40B4-BE49-F238E27FC236}">
              <a16:creationId xmlns:a16="http://schemas.microsoft.com/office/drawing/2014/main" id="{C71BECD8-BD92-4B9E-B2D4-D4C92C32AF7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94753" y="1378857"/>
          <a:ext cx="1529530" cy="521062"/>
        </a:xfrm>
        <a:prstGeom prst="rect">
          <a:avLst/>
        </a:prstGeom>
        <a:ln w="19050">
          <a:noFill/>
        </a:ln>
      </xdr:spPr>
    </xdr:pic>
    <xdr:clientData/>
  </xdr:twoCellAnchor>
  <xdr:twoCellAnchor editAs="oneCell">
    <xdr:from>
      <xdr:col>9</xdr:col>
      <xdr:colOff>428172</xdr:colOff>
      <xdr:row>14</xdr:row>
      <xdr:rowOff>83737</xdr:rowOff>
    </xdr:from>
    <xdr:to>
      <xdr:col>17</xdr:col>
      <xdr:colOff>190501</xdr:colOff>
      <xdr:row>19</xdr:row>
      <xdr:rowOff>54427</xdr:rowOff>
    </xdr:to>
    <xdr:pic macro="[0]!CorreoCirculacionesSALAVE">
      <xdr:nvPicPr>
        <xdr:cNvPr id="3" name="Imagen 2">
          <a:extLst>
            <a:ext uri="{FF2B5EF4-FFF2-40B4-BE49-F238E27FC236}">
              <a16:creationId xmlns:a16="http://schemas.microsoft.com/office/drawing/2014/main" id="{F5A380F9-23A7-41E3-B705-6FB903268E0F}"/>
            </a:ext>
          </a:extLst>
        </xdr:cNvPr>
        <xdr:cNvPicPr>
          <a:picLocks noChangeAspect="1" noChangeArrowheads="1"/>
        </xdr:cNvPicPr>
      </xdr:nvPicPr>
      <xdr:blipFill>
        <a:blip xmlns:r="http://schemas.openxmlformats.org/officeDocument/2006/relationships" r:embed="rId2" cstate="print">
          <a:clrChange>
            <a:clrFrom>
              <a:srgbClr val="FFFFFF"/>
            </a:clrFrom>
            <a:clrTo>
              <a:srgbClr val="FFFFFF">
                <a:alpha val="0"/>
              </a:srgbClr>
            </a:clrTo>
          </a:clrChange>
          <a:duotone>
            <a:prstClr val="black"/>
            <a:srgbClr val="FF0000">
              <a:tint val="45000"/>
              <a:satMod val="400000"/>
            </a:srgbClr>
          </a:duotone>
          <a:extLst>
            <a:ext uri="{28A0092B-C50C-407E-A947-70E740481C1C}">
              <a14:useLocalDpi xmlns:a14="http://schemas.microsoft.com/office/drawing/2010/main" val="0"/>
            </a:ext>
          </a:extLst>
        </a:blip>
        <a:srcRect/>
        <a:stretch>
          <a:fillRect/>
        </a:stretch>
      </xdr:blipFill>
      <xdr:spPr bwMode="auto">
        <a:xfrm>
          <a:off x="7449458" y="3893737"/>
          <a:ext cx="3463472" cy="11272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108857</xdr:colOff>
      <xdr:row>24</xdr:row>
      <xdr:rowOff>149679</xdr:rowOff>
    </xdr:from>
    <xdr:to>
      <xdr:col>14</xdr:col>
      <xdr:colOff>136070</xdr:colOff>
      <xdr:row>28</xdr:row>
      <xdr:rowOff>173718</xdr:rowOff>
    </xdr:to>
    <xdr:pic>
      <xdr:nvPicPr>
        <xdr:cNvPr id="4" name="Imagen 3">
          <a:hlinkClick xmlns:r="http://schemas.openxmlformats.org/officeDocument/2006/relationships" r:id="rId3"/>
          <a:extLst>
            <a:ext uri="{FF2B5EF4-FFF2-40B4-BE49-F238E27FC236}">
              <a16:creationId xmlns:a16="http://schemas.microsoft.com/office/drawing/2014/main" id="{2C633CAB-6C66-48FE-90AA-3F9FD3467F82}"/>
            </a:ext>
          </a:extLst>
        </xdr:cNvPr>
        <xdr:cNvPicPr>
          <a:picLocks noChangeAspect="1"/>
        </xdr:cNvPicPr>
      </xdr:nvPicPr>
      <xdr:blipFill>
        <a:blip xmlns:r="http://schemas.openxmlformats.org/officeDocument/2006/relationships" r:embed="rId4"/>
        <a:stretch>
          <a:fillRect/>
        </a:stretch>
      </xdr:blipFill>
      <xdr:spPr>
        <a:xfrm>
          <a:off x="8468632" y="6207579"/>
          <a:ext cx="944789" cy="938439"/>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5</xdr:col>
      <xdr:colOff>203653</xdr:colOff>
      <xdr:row>4</xdr:row>
      <xdr:rowOff>115207</xdr:rowOff>
    </xdr:from>
    <xdr:to>
      <xdr:col>8</xdr:col>
      <xdr:colOff>132983</xdr:colOff>
      <xdr:row>5</xdr:row>
      <xdr:rowOff>210819</xdr:rowOff>
    </xdr:to>
    <xdr:pic>
      <xdr:nvPicPr>
        <xdr:cNvPr id="2" name="Imagen 1">
          <a:extLst>
            <a:ext uri="{FF2B5EF4-FFF2-40B4-BE49-F238E27FC236}">
              <a16:creationId xmlns:a16="http://schemas.microsoft.com/office/drawing/2014/main" id="{9CB104F4-C0CA-4D91-A7D3-B48B03B1085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1103" y="1382032"/>
          <a:ext cx="1532705" cy="524237"/>
        </a:xfrm>
        <a:prstGeom prst="rect">
          <a:avLst/>
        </a:prstGeom>
        <a:ln w="19050">
          <a:noFill/>
        </a:ln>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BB35B1DA-C4BB-471E-9B3A-575962C9B3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5647"/>
          <a:ext cx="2261840" cy="807110"/>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6083B240-32ED-4356-8C00-1B5E3DFFA0B6}"/>
            </a:ext>
          </a:extLst>
        </xdr:cNvPr>
        <xdr:cNvPicPr>
          <a:picLocks noChangeAspect="1"/>
        </xdr:cNvPicPr>
      </xdr:nvPicPr>
      <xdr:blipFill>
        <a:blip xmlns:r="http://schemas.openxmlformats.org/officeDocument/2006/relationships" r:embed="rId3"/>
        <a:stretch>
          <a:fillRect/>
        </a:stretch>
      </xdr:blipFill>
      <xdr:spPr>
        <a:xfrm>
          <a:off x="12259812" y="2905125"/>
          <a:ext cx="548570" cy="531686"/>
        </a:xfrm>
        <a:prstGeom prst="rect">
          <a:avLst/>
        </a:prstGeom>
      </xdr:spPr>
    </xdr:pic>
    <xdr:clientData/>
  </xdr:twoCellAnchor>
  <xdr:twoCellAnchor editAs="oneCell">
    <xdr:from>
      <xdr:col>3</xdr:col>
      <xdr:colOff>180205</xdr:colOff>
      <xdr:row>9</xdr:row>
      <xdr:rowOff>56802</xdr:rowOff>
    </xdr:from>
    <xdr:to>
      <xdr:col>7</xdr:col>
      <xdr:colOff>335965</xdr:colOff>
      <xdr:row>9</xdr:row>
      <xdr:rowOff>703684</xdr:rowOff>
    </xdr:to>
    <xdr:pic macro="[0]!CorreoCirculacionesSALAVE">
      <xdr:nvPicPr>
        <xdr:cNvPr id="4" name="Imagen 3">
          <a:extLst>
            <a:ext uri="{FF2B5EF4-FFF2-40B4-BE49-F238E27FC236}">
              <a16:creationId xmlns:a16="http://schemas.microsoft.com/office/drawing/2014/main" id="{52A0EE9D-BE62-4C96-9538-0D027B96A40C}"/>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8780" y="2866677"/>
          <a:ext cx="1971860"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E61A3556-E0EC-4F16-ABFB-3DA6070E8E2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5647"/>
          <a:ext cx="2261840" cy="807110"/>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44522339-1EA6-4D20-AF7A-1B3D75D005D6}"/>
            </a:ext>
          </a:extLst>
        </xdr:cNvPr>
        <xdr:cNvPicPr>
          <a:picLocks noChangeAspect="1"/>
        </xdr:cNvPicPr>
      </xdr:nvPicPr>
      <xdr:blipFill>
        <a:blip xmlns:r="http://schemas.openxmlformats.org/officeDocument/2006/relationships" r:embed="rId3"/>
        <a:stretch>
          <a:fillRect/>
        </a:stretch>
      </xdr:blipFill>
      <xdr:spPr>
        <a:xfrm>
          <a:off x="12259812" y="2905125"/>
          <a:ext cx="548570" cy="531686"/>
        </a:xfrm>
        <a:prstGeom prst="rect">
          <a:avLst/>
        </a:prstGeom>
      </xdr:spPr>
    </xdr:pic>
    <xdr:clientData/>
  </xdr:twoCellAnchor>
  <xdr:twoCellAnchor editAs="oneCell">
    <xdr:from>
      <xdr:col>3</xdr:col>
      <xdr:colOff>180205</xdr:colOff>
      <xdr:row>9</xdr:row>
      <xdr:rowOff>56802</xdr:rowOff>
    </xdr:from>
    <xdr:to>
      <xdr:col>7</xdr:col>
      <xdr:colOff>335965</xdr:colOff>
      <xdr:row>9</xdr:row>
      <xdr:rowOff>703684</xdr:rowOff>
    </xdr:to>
    <xdr:pic macro="[0]!CorreoCirculacionesSALAVE">
      <xdr:nvPicPr>
        <xdr:cNvPr id="4" name="Imagen 3">
          <a:extLst>
            <a:ext uri="{FF2B5EF4-FFF2-40B4-BE49-F238E27FC236}">
              <a16:creationId xmlns:a16="http://schemas.microsoft.com/office/drawing/2014/main" id="{7A2567BC-4F4B-4D61-A852-A6A3AF80196A}"/>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8780" y="2866677"/>
          <a:ext cx="1971860"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86A70EF3-BB5E-4B14-85D5-BBDC5F9642E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5647"/>
          <a:ext cx="2261840" cy="807110"/>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5A411C2A-E067-4680-AACE-5A43C719A198}"/>
            </a:ext>
          </a:extLst>
        </xdr:cNvPr>
        <xdr:cNvPicPr>
          <a:picLocks noChangeAspect="1"/>
        </xdr:cNvPicPr>
      </xdr:nvPicPr>
      <xdr:blipFill>
        <a:blip xmlns:r="http://schemas.openxmlformats.org/officeDocument/2006/relationships" r:embed="rId3"/>
        <a:stretch>
          <a:fillRect/>
        </a:stretch>
      </xdr:blipFill>
      <xdr:spPr>
        <a:xfrm>
          <a:off x="12259812" y="2905125"/>
          <a:ext cx="548570" cy="531686"/>
        </a:xfrm>
        <a:prstGeom prst="rect">
          <a:avLst/>
        </a:prstGeom>
      </xdr:spPr>
    </xdr:pic>
    <xdr:clientData/>
  </xdr:twoCellAnchor>
  <xdr:twoCellAnchor editAs="oneCell">
    <xdr:from>
      <xdr:col>3</xdr:col>
      <xdr:colOff>180205</xdr:colOff>
      <xdr:row>9</xdr:row>
      <xdr:rowOff>56802</xdr:rowOff>
    </xdr:from>
    <xdr:to>
      <xdr:col>7</xdr:col>
      <xdr:colOff>335965</xdr:colOff>
      <xdr:row>9</xdr:row>
      <xdr:rowOff>703684</xdr:rowOff>
    </xdr:to>
    <xdr:pic macro="[0]!CorreoCirculacionesSALAVE">
      <xdr:nvPicPr>
        <xdr:cNvPr id="4" name="Imagen 3">
          <a:extLst>
            <a:ext uri="{FF2B5EF4-FFF2-40B4-BE49-F238E27FC236}">
              <a16:creationId xmlns:a16="http://schemas.microsoft.com/office/drawing/2014/main" id="{2C5FC2B4-DA18-45F3-8589-CBB4F83FEC2C}"/>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8780" y="2866677"/>
          <a:ext cx="1971860"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9471B48B-61CC-43E8-87F5-FF7E0210432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5647"/>
          <a:ext cx="2261840" cy="807110"/>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60579DB3-D313-4932-BED5-65C3AE8E8E6E}"/>
            </a:ext>
          </a:extLst>
        </xdr:cNvPr>
        <xdr:cNvPicPr>
          <a:picLocks noChangeAspect="1"/>
        </xdr:cNvPicPr>
      </xdr:nvPicPr>
      <xdr:blipFill>
        <a:blip xmlns:r="http://schemas.openxmlformats.org/officeDocument/2006/relationships" r:embed="rId3"/>
        <a:stretch>
          <a:fillRect/>
        </a:stretch>
      </xdr:blipFill>
      <xdr:spPr>
        <a:xfrm>
          <a:off x="12259812" y="2905125"/>
          <a:ext cx="548570" cy="531686"/>
        </a:xfrm>
        <a:prstGeom prst="rect">
          <a:avLst/>
        </a:prstGeom>
      </xdr:spPr>
    </xdr:pic>
    <xdr:clientData/>
  </xdr:twoCellAnchor>
  <xdr:twoCellAnchor editAs="oneCell">
    <xdr:from>
      <xdr:col>3</xdr:col>
      <xdr:colOff>180205</xdr:colOff>
      <xdr:row>9</xdr:row>
      <xdr:rowOff>56802</xdr:rowOff>
    </xdr:from>
    <xdr:to>
      <xdr:col>7</xdr:col>
      <xdr:colOff>335965</xdr:colOff>
      <xdr:row>9</xdr:row>
      <xdr:rowOff>703684</xdr:rowOff>
    </xdr:to>
    <xdr:pic macro="[0]!CorreoCirculacionesSALAVE">
      <xdr:nvPicPr>
        <xdr:cNvPr id="4" name="Imagen 3">
          <a:extLst>
            <a:ext uri="{FF2B5EF4-FFF2-40B4-BE49-F238E27FC236}">
              <a16:creationId xmlns:a16="http://schemas.microsoft.com/office/drawing/2014/main" id="{F8DFA0AA-B4B4-46AB-924D-620EADC50910}"/>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8780" y="2866677"/>
          <a:ext cx="1971860"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3E28D283-35B6-49A3-8D38-77CAC2075DC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5647"/>
          <a:ext cx="2261840" cy="807110"/>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9CAA45BD-2D81-46E6-9D3D-48A6CB51DF5F}"/>
            </a:ext>
          </a:extLst>
        </xdr:cNvPr>
        <xdr:cNvPicPr>
          <a:picLocks noChangeAspect="1"/>
        </xdr:cNvPicPr>
      </xdr:nvPicPr>
      <xdr:blipFill>
        <a:blip xmlns:r="http://schemas.openxmlformats.org/officeDocument/2006/relationships" r:embed="rId3"/>
        <a:stretch>
          <a:fillRect/>
        </a:stretch>
      </xdr:blipFill>
      <xdr:spPr>
        <a:xfrm>
          <a:off x="12259812" y="2905125"/>
          <a:ext cx="548570" cy="531686"/>
        </a:xfrm>
        <a:prstGeom prst="rect">
          <a:avLst/>
        </a:prstGeom>
      </xdr:spPr>
    </xdr:pic>
    <xdr:clientData/>
  </xdr:twoCellAnchor>
  <xdr:twoCellAnchor editAs="oneCell">
    <xdr:from>
      <xdr:col>3</xdr:col>
      <xdr:colOff>180205</xdr:colOff>
      <xdr:row>9</xdr:row>
      <xdr:rowOff>56802</xdr:rowOff>
    </xdr:from>
    <xdr:to>
      <xdr:col>7</xdr:col>
      <xdr:colOff>335965</xdr:colOff>
      <xdr:row>9</xdr:row>
      <xdr:rowOff>703684</xdr:rowOff>
    </xdr:to>
    <xdr:pic macro="[0]!CorreoCirculacionesSALAVE">
      <xdr:nvPicPr>
        <xdr:cNvPr id="4" name="Imagen 3">
          <a:extLst>
            <a:ext uri="{FF2B5EF4-FFF2-40B4-BE49-F238E27FC236}">
              <a16:creationId xmlns:a16="http://schemas.microsoft.com/office/drawing/2014/main" id="{C00CADB0-E74F-49B7-9216-D72F67290B8A}"/>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8780" y="2866677"/>
          <a:ext cx="1971860"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6B31AF52-BDEF-45CF-89A5-4B010CE6240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5647"/>
          <a:ext cx="2261840" cy="807110"/>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862EAC4C-B9F6-40FA-A6B1-E46336200F9C}"/>
            </a:ext>
          </a:extLst>
        </xdr:cNvPr>
        <xdr:cNvPicPr>
          <a:picLocks noChangeAspect="1"/>
        </xdr:cNvPicPr>
      </xdr:nvPicPr>
      <xdr:blipFill>
        <a:blip xmlns:r="http://schemas.openxmlformats.org/officeDocument/2006/relationships" r:embed="rId3"/>
        <a:stretch>
          <a:fillRect/>
        </a:stretch>
      </xdr:blipFill>
      <xdr:spPr>
        <a:xfrm>
          <a:off x="12259812" y="2905125"/>
          <a:ext cx="548570" cy="531686"/>
        </a:xfrm>
        <a:prstGeom prst="rect">
          <a:avLst/>
        </a:prstGeom>
      </xdr:spPr>
    </xdr:pic>
    <xdr:clientData/>
  </xdr:twoCellAnchor>
  <xdr:twoCellAnchor editAs="oneCell">
    <xdr:from>
      <xdr:col>3</xdr:col>
      <xdr:colOff>180205</xdr:colOff>
      <xdr:row>9</xdr:row>
      <xdr:rowOff>56802</xdr:rowOff>
    </xdr:from>
    <xdr:to>
      <xdr:col>7</xdr:col>
      <xdr:colOff>335965</xdr:colOff>
      <xdr:row>9</xdr:row>
      <xdr:rowOff>703684</xdr:rowOff>
    </xdr:to>
    <xdr:pic macro="[0]!CorreoCirculacionesSALAVE">
      <xdr:nvPicPr>
        <xdr:cNvPr id="4" name="Imagen 3">
          <a:extLst>
            <a:ext uri="{FF2B5EF4-FFF2-40B4-BE49-F238E27FC236}">
              <a16:creationId xmlns:a16="http://schemas.microsoft.com/office/drawing/2014/main" id="{FF074D94-5951-4007-91B4-A09E613A0B25}"/>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8780" y="2866677"/>
          <a:ext cx="1971860"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69B63209-E8DE-4ABB-8047-7306973CC10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5647"/>
          <a:ext cx="2261840" cy="807110"/>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6F657B92-C893-4C87-B5A5-ABD20291F884}"/>
            </a:ext>
          </a:extLst>
        </xdr:cNvPr>
        <xdr:cNvPicPr>
          <a:picLocks noChangeAspect="1"/>
        </xdr:cNvPicPr>
      </xdr:nvPicPr>
      <xdr:blipFill>
        <a:blip xmlns:r="http://schemas.openxmlformats.org/officeDocument/2006/relationships" r:embed="rId3"/>
        <a:stretch>
          <a:fillRect/>
        </a:stretch>
      </xdr:blipFill>
      <xdr:spPr>
        <a:xfrm>
          <a:off x="12259812" y="2905125"/>
          <a:ext cx="548570" cy="531686"/>
        </a:xfrm>
        <a:prstGeom prst="rect">
          <a:avLst/>
        </a:prstGeom>
      </xdr:spPr>
    </xdr:pic>
    <xdr:clientData/>
  </xdr:twoCellAnchor>
  <xdr:twoCellAnchor editAs="oneCell">
    <xdr:from>
      <xdr:col>3</xdr:col>
      <xdr:colOff>180205</xdr:colOff>
      <xdr:row>9</xdr:row>
      <xdr:rowOff>56802</xdr:rowOff>
    </xdr:from>
    <xdr:to>
      <xdr:col>7</xdr:col>
      <xdr:colOff>335965</xdr:colOff>
      <xdr:row>9</xdr:row>
      <xdr:rowOff>703684</xdr:rowOff>
    </xdr:to>
    <xdr:pic macro="[0]!CorreoCirculacionesSALAVE">
      <xdr:nvPicPr>
        <xdr:cNvPr id="4" name="Imagen 3">
          <a:extLst>
            <a:ext uri="{FF2B5EF4-FFF2-40B4-BE49-F238E27FC236}">
              <a16:creationId xmlns:a16="http://schemas.microsoft.com/office/drawing/2014/main" id="{F07535F0-AA04-4817-ACA5-2BDAA45E84B3}"/>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8780" y="2866677"/>
          <a:ext cx="1971860"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86BF5D81-8016-40A3-AEDA-64FC62B607A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5647"/>
          <a:ext cx="2261840" cy="807110"/>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49A53B6D-6DA8-4DC9-B4EB-924FF49187CA}"/>
            </a:ext>
          </a:extLst>
        </xdr:cNvPr>
        <xdr:cNvPicPr>
          <a:picLocks noChangeAspect="1"/>
        </xdr:cNvPicPr>
      </xdr:nvPicPr>
      <xdr:blipFill>
        <a:blip xmlns:r="http://schemas.openxmlformats.org/officeDocument/2006/relationships" r:embed="rId3"/>
        <a:stretch>
          <a:fillRect/>
        </a:stretch>
      </xdr:blipFill>
      <xdr:spPr>
        <a:xfrm>
          <a:off x="12259812" y="2905125"/>
          <a:ext cx="548570" cy="531686"/>
        </a:xfrm>
        <a:prstGeom prst="rect">
          <a:avLst/>
        </a:prstGeom>
      </xdr:spPr>
    </xdr:pic>
    <xdr:clientData/>
  </xdr:twoCellAnchor>
  <xdr:twoCellAnchor editAs="oneCell">
    <xdr:from>
      <xdr:col>3</xdr:col>
      <xdr:colOff>180205</xdr:colOff>
      <xdr:row>9</xdr:row>
      <xdr:rowOff>56802</xdr:rowOff>
    </xdr:from>
    <xdr:to>
      <xdr:col>7</xdr:col>
      <xdr:colOff>335965</xdr:colOff>
      <xdr:row>9</xdr:row>
      <xdr:rowOff>703684</xdr:rowOff>
    </xdr:to>
    <xdr:pic macro="[0]!CorreoCirculacionesSALAVE">
      <xdr:nvPicPr>
        <xdr:cNvPr id="4" name="Imagen 3">
          <a:extLst>
            <a:ext uri="{FF2B5EF4-FFF2-40B4-BE49-F238E27FC236}">
              <a16:creationId xmlns:a16="http://schemas.microsoft.com/office/drawing/2014/main" id="{0C4E30DD-3DB3-4770-97EE-EEF1F891A02E}"/>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8780" y="2866677"/>
          <a:ext cx="1971860"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325119</xdr:colOff>
      <xdr:row>1</xdr:row>
      <xdr:rowOff>836532</xdr:rowOff>
    </xdr:to>
    <xdr:pic>
      <xdr:nvPicPr>
        <xdr:cNvPr id="2" name="Imagen 1">
          <a:extLst>
            <a:ext uri="{FF2B5EF4-FFF2-40B4-BE49-F238E27FC236}">
              <a16:creationId xmlns:a16="http://schemas.microsoft.com/office/drawing/2014/main" id="{8EF7406A-1A5F-4066-812D-8F5348D7ECD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11997"/>
          <a:ext cx="2265015" cy="803935"/>
        </a:xfrm>
        <a:prstGeom prst="rect">
          <a:avLst/>
        </a:prstGeom>
        <a:ln w="19050">
          <a:noFill/>
        </a:ln>
      </xdr:spPr>
    </xdr:pic>
    <xdr:clientData/>
  </xdr:twoCellAnchor>
  <xdr:twoCellAnchor editAs="oneCell">
    <xdr:from>
      <xdr:col>27</xdr:col>
      <xdr:colOff>1137</xdr:colOff>
      <xdr:row>9</xdr:row>
      <xdr:rowOff>95250</xdr:rowOff>
    </xdr:from>
    <xdr:to>
      <xdr:col>28</xdr:col>
      <xdr:colOff>92507</xdr:colOff>
      <xdr:row>9</xdr:row>
      <xdr:rowOff>626936</xdr:rowOff>
    </xdr:to>
    <xdr:pic>
      <xdr:nvPicPr>
        <xdr:cNvPr id="3" name="Imagen 2">
          <a:hlinkClick xmlns:r="http://schemas.openxmlformats.org/officeDocument/2006/relationships" r:id="rId2"/>
          <a:extLst>
            <a:ext uri="{FF2B5EF4-FFF2-40B4-BE49-F238E27FC236}">
              <a16:creationId xmlns:a16="http://schemas.microsoft.com/office/drawing/2014/main" id="{19D51752-2A7C-449F-A862-093D4EAECE9A}"/>
            </a:ext>
          </a:extLst>
        </xdr:cNvPr>
        <xdr:cNvPicPr>
          <a:picLocks noChangeAspect="1"/>
        </xdr:cNvPicPr>
      </xdr:nvPicPr>
      <xdr:blipFill>
        <a:blip xmlns:r="http://schemas.openxmlformats.org/officeDocument/2006/relationships" r:embed="rId3"/>
        <a:stretch>
          <a:fillRect/>
        </a:stretch>
      </xdr:blipFill>
      <xdr:spPr>
        <a:xfrm>
          <a:off x="12262987" y="2908300"/>
          <a:ext cx="548570" cy="531686"/>
        </a:xfrm>
        <a:prstGeom prst="rect">
          <a:avLst/>
        </a:prstGeom>
      </xdr:spPr>
    </xdr:pic>
    <xdr:clientData/>
  </xdr:twoCellAnchor>
  <xdr:twoCellAnchor editAs="oneCell">
    <xdr:from>
      <xdr:col>3</xdr:col>
      <xdr:colOff>180205</xdr:colOff>
      <xdr:row>9</xdr:row>
      <xdr:rowOff>56802</xdr:rowOff>
    </xdr:from>
    <xdr:to>
      <xdr:col>7</xdr:col>
      <xdr:colOff>339140</xdr:colOff>
      <xdr:row>9</xdr:row>
      <xdr:rowOff>703684</xdr:rowOff>
    </xdr:to>
    <xdr:pic macro="[0]!CorreoCirculacionesSALAVE">
      <xdr:nvPicPr>
        <xdr:cNvPr id="4" name="Imagen 3">
          <a:extLst>
            <a:ext uri="{FF2B5EF4-FFF2-40B4-BE49-F238E27FC236}">
              <a16:creationId xmlns:a16="http://schemas.microsoft.com/office/drawing/2014/main" id="{BEF8B3BE-B6E2-46BE-BF0B-8AB8A46FD5D8}"/>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75605" y="2869852"/>
          <a:ext cx="1981385"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111154</xdr:colOff>
      <xdr:row>1</xdr:row>
      <xdr:rowOff>32597</xdr:rowOff>
    </xdr:from>
    <xdr:to>
      <xdr:col>5</xdr:col>
      <xdr:colOff>321309</xdr:colOff>
      <xdr:row>1</xdr:row>
      <xdr:rowOff>836532</xdr:rowOff>
    </xdr:to>
    <xdr:pic>
      <xdr:nvPicPr>
        <xdr:cNvPr id="2" name="Imagen 1">
          <a:extLst>
            <a:ext uri="{FF2B5EF4-FFF2-40B4-BE49-F238E27FC236}">
              <a16:creationId xmlns:a16="http://schemas.microsoft.com/office/drawing/2014/main" id="{C3F4E995-F9D6-4113-8C50-66ABF4507A7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3554" y="306917"/>
          <a:ext cx="2229455" cy="805840"/>
        </a:xfrm>
        <a:prstGeom prst="rect">
          <a:avLst/>
        </a:prstGeom>
        <a:ln w="19050">
          <a:noFill/>
        </a:ln>
      </xdr:spPr>
    </xdr:pic>
    <xdr:clientData/>
  </xdr:twoCellAnchor>
  <xdr:twoCellAnchor editAs="oneCell">
    <xdr:from>
      <xdr:col>27</xdr:col>
      <xdr:colOff>1137</xdr:colOff>
      <xdr:row>9</xdr:row>
      <xdr:rowOff>95250</xdr:rowOff>
    </xdr:from>
    <xdr:to>
      <xdr:col>28</xdr:col>
      <xdr:colOff>96317</xdr:colOff>
      <xdr:row>9</xdr:row>
      <xdr:rowOff>630746</xdr:rowOff>
    </xdr:to>
    <xdr:pic>
      <xdr:nvPicPr>
        <xdr:cNvPr id="3" name="Imagen 2">
          <a:hlinkClick xmlns:r="http://schemas.openxmlformats.org/officeDocument/2006/relationships" r:id="rId2"/>
          <a:extLst>
            <a:ext uri="{FF2B5EF4-FFF2-40B4-BE49-F238E27FC236}">
              <a16:creationId xmlns:a16="http://schemas.microsoft.com/office/drawing/2014/main" id="{C1A790C2-3D14-4EC5-9BAF-FF2BD2F34DB6}"/>
            </a:ext>
          </a:extLst>
        </xdr:cNvPr>
        <xdr:cNvPicPr>
          <a:picLocks noChangeAspect="1"/>
        </xdr:cNvPicPr>
      </xdr:nvPicPr>
      <xdr:blipFill>
        <a:blip xmlns:r="http://schemas.openxmlformats.org/officeDocument/2006/relationships" r:embed="rId3"/>
        <a:stretch>
          <a:fillRect/>
        </a:stretch>
      </xdr:blipFill>
      <xdr:spPr>
        <a:xfrm>
          <a:off x="12021687" y="2891790"/>
          <a:ext cx="542855" cy="539306"/>
        </a:xfrm>
        <a:prstGeom prst="rect">
          <a:avLst/>
        </a:prstGeom>
      </xdr:spPr>
    </xdr:pic>
    <xdr:clientData/>
  </xdr:twoCellAnchor>
  <xdr:twoCellAnchor editAs="oneCell">
    <xdr:from>
      <xdr:col>3</xdr:col>
      <xdr:colOff>180205</xdr:colOff>
      <xdr:row>9</xdr:row>
      <xdr:rowOff>56802</xdr:rowOff>
    </xdr:from>
    <xdr:to>
      <xdr:col>7</xdr:col>
      <xdr:colOff>339140</xdr:colOff>
      <xdr:row>9</xdr:row>
      <xdr:rowOff>707494</xdr:rowOff>
    </xdr:to>
    <xdr:pic macro="[0]!CorreoCirculacionesSALAVE">
      <xdr:nvPicPr>
        <xdr:cNvPr id="4" name="Imagen 3">
          <a:extLst>
            <a:ext uri="{FF2B5EF4-FFF2-40B4-BE49-F238E27FC236}">
              <a16:creationId xmlns:a16="http://schemas.microsoft.com/office/drawing/2014/main" id="{71B2086B-50AE-48A8-93B4-CD85DF56D60F}"/>
            </a:ext>
          </a:extLst>
        </xdr:cNvPr>
        <xdr:cNvPicPr>
          <a:picLocks noChangeAspect="1" noChangeArrowheads="1"/>
        </xdr:cNvPicPr>
      </xdr:nvPicPr>
      <xdr:blipFill>
        <a:blip xmlns:r="http://schemas.openxmlformats.org/officeDocument/2006/relationships" r:embed="rId4" cstate="print">
          <a:clrChange>
            <a:clrFrom>
              <a:srgbClr val="FFFFFF"/>
            </a:clrFrom>
            <a:clrTo>
              <a:srgbClr val="FFFFFF">
                <a:alpha val="0"/>
              </a:srgbClr>
            </a:clrTo>
          </a:clrChange>
          <a:duotone>
            <a:prstClr val="black"/>
            <a:srgbClr val="FF0000">
              <a:tint val="45000"/>
              <a:satMod val="400000"/>
            </a:srgbClr>
          </a:duotone>
          <a:extLst>
            <a:ext uri="{BEBA8EAE-BF5A-486C-A8C5-ECC9F3942E4B}">
              <a14:imgProps xmlns:a14="http://schemas.microsoft.com/office/drawing/2010/main">
                <a14:imgLayer r:embed="rId5">
                  <a14:imgEffect>
                    <a14:brightnessContrast bright="40000" contrast="40000"/>
                  </a14:imgEffect>
                </a14:imgLayer>
              </a14:imgProps>
            </a:ext>
            <a:ext uri="{28A0092B-C50C-407E-A947-70E740481C1C}">
              <a14:useLocalDpi xmlns:a14="http://schemas.microsoft.com/office/drawing/2010/main" val="0"/>
            </a:ext>
          </a:extLst>
        </a:blip>
        <a:srcRect/>
        <a:stretch>
          <a:fillRect/>
        </a:stretch>
      </xdr:blipFill>
      <xdr:spPr bwMode="auto">
        <a:xfrm>
          <a:off x="1464175" y="2860962"/>
          <a:ext cx="1942015" cy="64688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32</xdr:col>
      <xdr:colOff>134937</xdr:colOff>
      <xdr:row>1</xdr:row>
      <xdr:rowOff>63501</xdr:rowOff>
    </xdr:from>
    <xdr:to>
      <xdr:col>35</xdr:col>
      <xdr:colOff>676274</xdr:colOff>
      <xdr:row>1</xdr:row>
      <xdr:rowOff>571501</xdr:rowOff>
    </xdr:to>
    <xdr:grpSp>
      <xdr:nvGrpSpPr>
        <xdr:cNvPr id="5" name="Grupo 6">
          <a:extLst>
            <a:ext uri="{FF2B5EF4-FFF2-40B4-BE49-F238E27FC236}">
              <a16:creationId xmlns:a16="http://schemas.microsoft.com/office/drawing/2014/main" id="{293CCFE3-74A0-2562-D1B1-620D7C9789F6}"/>
            </a:ext>
          </a:extLst>
        </xdr:cNvPr>
        <xdr:cNvGrpSpPr/>
      </xdr:nvGrpSpPr>
      <xdr:grpSpPr>
        <a:xfrm>
          <a:off x="10394315" y="178754"/>
          <a:ext cx="2162492" cy="511810"/>
          <a:chOff x="13106400" y="27466925"/>
          <a:chExt cx="2828925" cy="914400"/>
        </a:xfrm>
      </xdr:grpSpPr>
      <xdr:sp macro="[0]!CopiarMesYActualizarHistorico" textlink="">
        <xdr:nvSpPr>
          <xdr:cNvPr id="6" name="Rectángulo: esquinas redondeadas 3">
            <a:extLst>
              <a:ext uri="{FF2B5EF4-FFF2-40B4-BE49-F238E27FC236}">
                <a16:creationId xmlns:a16="http://schemas.microsoft.com/office/drawing/2014/main" id="{E7F60940-4D93-FF19-F587-808B5B83DFE0}"/>
              </a:ext>
            </a:extLst>
          </xdr:cNvPr>
          <xdr:cNvSpPr/>
        </xdr:nvSpPr>
        <xdr:spPr>
          <a:xfrm>
            <a:off x="13106400" y="27466925"/>
            <a:ext cx="2828925" cy="914400"/>
          </a:xfrm>
          <a:prstGeom prst="roundRect">
            <a:avLst/>
          </a:prstGeom>
          <a:solidFill>
            <a:srgbClr val="D1B2E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pic macro="[0]!CopiarMesYActualizarHistorico">
        <xdr:nvPicPr>
          <xdr:cNvPr id="8" name="Imagen 1" descr="Backup, blue, circle, cloud, ftp, storage, upload icon - Download on  Iconfinder">
            <a:extLst>
              <a:ext uri="{FF2B5EF4-FFF2-40B4-BE49-F238E27FC236}">
                <a16:creationId xmlns:a16="http://schemas.microsoft.com/office/drawing/2014/main" id="{8D24F5F9-FAD0-D0E7-C46B-276EE87B321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25476" y="27628850"/>
            <a:ext cx="522605" cy="615949"/>
          </a:xfrm>
          <a:prstGeom prst="rect">
            <a:avLst/>
          </a:prstGeom>
          <a:noFill/>
          <a:extLst>
            <a:ext uri="{909E8E84-426E-40DD-AFC4-6F175D3DCCD1}">
              <a14:hiddenFill xmlns:a14="http://schemas.microsoft.com/office/drawing/2010/main">
                <a:solidFill>
                  <a:srgbClr val="FFFFFF"/>
                </a:solidFill>
              </a14:hiddenFill>
            </a:ext>
          </a:extLst>
        </xdr:spPr>
      </xdr:pic>
      <xdr:sp macro="[0]!CopiarMesYActualizarHistorico" textlink="">
        <xdr:nvSpPr>
          <xdr:cNvPr id="9" name="CuadroTexto 2">
            <a:extLst>
              <a:ext uri="{FF2B5EF4-FFF2-40B4-BE49-F238E27FC236}">
                <a16:creationId xmlns:a16="http://schemas.microsoft.com/office/drawing/2014/main" id="{46BFFAFB-1EE1-E3FE-19F5-4AF43C66DFBF}"/>
              </a:ext>
            </a:extLst>
          </xdr:cNvPr>
          <xdr:cNvSpPr txBox="1"/>
        </xdr:nvSpPr>
        <xdr:spPr>
          <a:xfrm>
            <a:off x="13884557" y="27662506"/>
            <a:ext cx="1964187" cy="598803"/>
          </a:xfrm>
          <a:prstGeom prst="rect">
            <a:avLst/>
          </a:prstGeom>
          <a:solidFill>
            <a:srgbClr val="D1B2E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t>CARGAR DATOS MES</a:t>
            </a:r>
          </a:p>
        </xdr:txBody>
      </xdr:sp>
    </xdr:grpSp>
    <xdr:clientData/>
  </xdr:twoCellAnchor>
  <xdr:twoCellAnchor>
    <xdr:from>
      <xdr:col>1</xdr:col>
      <xdr:colOff>119062</xdr:colOff>
      <xdr:row>1</xdr:row>
      <xdr:rowOff>59531</xdr:rowOff>
    </xdr:from>
    <xdr:to>
      <xdr:col>2</xdr:col>
      <xdr:colOff>619125</xdr:colOff>
      <xdr:row>1</xdr:row>
      <xdr:rowOff>535781</xdr:rowOff>
    </xdr:to>
    <xdr:sp macro="" textlink="">
      <xdr:nvSpPr>
        <xdr:cNvPr id="2" name="Rectángulo: esquinas redondeadas 1">
          <a:hlinkClick xmlns:r="http://schemas.openxmlformats.org/officeDocument/2006/relationships" r:id="rId2"/>
          <a:extLst>
            <a:ext uri="{FF2B5EF4-FFF2-40B4-BE49-F238E27FC236}">
              <a16:creationId xmlns:a16="http://schemas.microsoft.com/office/drawing/2014/main" id="{52693C47-FC75-C6D9-7C91-0C919115983E}"/>
            </a:ext>
          </a:extLst>
        </xdr:cNvPr>
        <xdr:cNvSpPr/>
      </xdr:nvSpPr>
      <xdr:spPr>
        <a:xfrm>
          <a:off x="238125" y="178594"/>
          <a:ext cx="1285875" cy="476250"/>
        </a:xfrm>
        <a:prstGeom prst="roundRect">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r>
            <a:rPr lang="es-ES" sz="1800" b="1">
              <a:solidFill>
                <a:sysClr val="windowText" lastClr="000000"/>
              </a:solidFill>
            </a:rPr>
            <a:t>WEB</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xdr:col>
      <xdr:colOff>231321</xdr:colOff>
      <xdr:row>1</xdr:row>
      <xdr:rowOff>198665</xdr:rowOff>
    </xdr:from>
    <xdr:to>
      <xdr:col>2</xdr:col>
      <xdr:colOff>1495878</xdr:colOff>
      <xdr:row>1</xdr:row>
      <xdr:rowOff>678090</xdr:rowOff>
    </xdr:to>
    <xdr:pic>
      <xdr:nvPicPr>
        <xdr:cNvPr id="2" name="Picture 34">
          <a:extLst>
            <a:ext uri="{FF2B5EF4-FFF2-40B4-BE49-F238E27FC236}">
              <a16:creationId xmlns:a16="http://schemas.microsoft.com/office/drawing/2014/main" id="{5F5FB23E-7FFD-449F-A881-1DA24E8758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3721" y="338365"/>
          <a:ext cx="1880507" cy="479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97972</xdr:colOff>
      <xdr:row>5</xdr:row>
      <xdr:rowOff>149679</xdr:rowOff>
    </xdr:from>
    <xdr:to>
      <xdr:col>9</xdr:col>
      <xdr:colOff>28571</xdr:colOff>
      <xdr:row>6</xdr:row>
      <xdr:rowOff>370569</xdr:rowOff>
    </xdr:to>
    <xdr:pic>
      <xdr:nvPicPr>
        <xdr:cNvPr id="3" name="Imagen 2">
          <a:extLst>
            <a:ext uri="{FF2B5EF4-FFF2-40B4-BE49-F238E27FC236}">
              <a16:creationId xmlns:a16="http://schemas.microsoft.com/office/drawing/2014/main" id="{1C195C2D-1128-4B7F-A7F2-B1DFEF726C8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854372" y="2245179"/>
          <a:ext cx="1549849" cy="512990"/>
        </a:xfrm>
        <a:prstGeom prst="rect">
          <a:avLst/>
        </a:prstGeom>
        <a:ln w="19050">
          <a:noFill/>
        </a:ln>
      </xdr:spPr>
    </xdr:pic>
    <xdr:clientData/>
  </xdr:twoCellAnchor>
  <xdr:twoCellAnchor editAs="oneCell">
    <xdr:from>
      <xdr:col>7</xdr:col>
      <xdr:colOff>133351</xdr:colOff>
      <xdr:row>15</xdr:row>
      <xdr:rowOff>98068</xdr:rowOff>
    </xdr:from>
    <xdr:to>
      <xdr:col>9</xdr:col>
      <xdr:colOff>184059</xdr:colOff>
      <xdr:row>16</xdr:row>
      <xdr:rowOff>276914</xdr:rowOff>
    </xdr:to>
    <xdr:pic>
      <xdr:nvPicPr>
        <xdr:cNvPr id="4" name="Imagen 3">
          <a:extLst>
            <a:ext uri="{FF2B5EF4-FFF2-40B4-BE49-F238E27FC236}">
              <a16:creationId xmlns:a16="http://schemas.microsoft.com/office/drawing/2014/main" id="{C617A5DC-4DF1-4227-B188-4CA793B5243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889751" y="5362218"/>
          <a:ext cx="1669958" cy="470946"/>
        </a:xfrm>
        <a:prstGeom prst="rect">
          <a:avLst/>
        </a:prstGeom>
      </xdr:spPr>
    </xdr:pic>
    <xdr:clientData/>
  </xdr:twoCellAnchor>
  <xdr:twoCellAnchor editAs="oneCell">
    <xdr:from>
      <xdr:col>7</xdr:col>
      <xdr:colOff>169636</xdr:colOff>
      <xdr:row>23</xdr:row>
      <xdr:rowOff>99594</xdr:rowOff>
    </xdr:from>
    <xdr:to>
      <xdr:col>9</xdr:col>
      <xdr:colOff>38779</xdr:colOff>
      <xdr:row>24</xdr:row>
      <xdr:rowOff>217715</xdr:rowOff>
    </xdr:to>
    <xdr:pic>
      <xdr:nvPicPr>
        <xdr:cNvPr id="5" name="Imagen 4">
          <a:extLst>
            <a:ext uri="{FF2B5EF4-FFF2-40B4-BE49-F238E27FC236}">
              <a16:creationId xmlns:a16="http://schemas.microsoft.com/office/drawing/2014/main" id="{CEE4CFBA-ED5D-4E90-9DCD-924FD75D0069}"/>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22593"/>
        <a:stretch/>
      </xdr:blipFill>
      <xdr:spPr>
        <a:xfrm>
          <a:off x="6926036" y="7700544"/>
          <a:ext cx="1488393" cy="410221"/>
        </a:xfrm>
        <a:prstGeom prst="rect">
          <a:avLst/>
        </a:prstGeom>
      </xdr:spPr>
    </xdr:pic>
    <xdr:clientData/>
  </xdr:twoCellAnchor>
  <xdr:twoCellAnchor editAs="oneCell">
    <xdr:from>
      <xdr:col>7</xdr:col>
      <xdr:colOff>10432</xdr:colOff>
      <xdr:row>30</xdr:row>
      <xdr:rowOff>51255</xdr:rowOff>
    </xdr:from>
    <xdr:to>
      <xdr:col>10</xdr:col>
      <xdr:colOff>181944</xdr:colOff>
      <xdr:row>31</xdr:row>
      <xdr:rowOff>162685</xdr:rowOff>
    </xdr:to>
    <xdr:pic>
      <xdr:nvPicPr>
        <xdr:cNvPr id="6" name="Imagen 5">
          <a:extLst>
            <a:ext uri="{FF2B5EF4-FFF2-40B4-BE49-F238E27FC236}">
              <a16:creationId xmlns:a16="http://schemas.microsoft.com/office/drawing/2014/main" id="{7F32A6C4-0572-49D7-BC0A-A5F7355FBD6F}"/>
            </a:ext>
          </a:extLst>
        </xdr:cNvPr>
        <xdr:cNvPicPr>
          <a:picLocks noChangeAspect="1"/>
        </xdr:cNvPicPr>
      </xdr:nvPicPr>
      <xdr:blipFill>
        <a:blip xmlns:r="http://schemas.openxmlformats.org/officeDocument/2006/relationships" r:embed="rId5"/>
        <a:stretch>
          <a:fillRect/>
        </a:stretch>
      </xdr:blipFill>
      <xdr:spPr>
        <a:xfrm>
          <a:off x="6766832" y="9696905"/>
          <a:ext cx="2184462" cy="403530"/>
        </a:xfrm>
        <a:prstGeom prst="rect">
          <a:avLst/>
        </a:prstGeom>
      </xdr:spPr>
    </xdr:pic>
    <xdr:clientData/>
  </xdr:twoCellAnchor>
  <xdr:twoCellAnchor editAs="oneCell">
    <xdr:from>
      <xdr:col>34</xdr:col>
      <xdr:colOff>190501</xdr:colOff>
      <xdr:row>1</xdr:row>
      <xdr:rowOff>168966</xdr:rowOff>
    </xdr:from>
    <xdr:to>
      <xdr:col>41</xdr:col>
      <xdr:colOff>82550</xdr:colOff>
      <xdr:row>1</xdr:row>
      <xdr:rowOff>696944</xdr:rowOff>
    </xdr:to>
    <xdr:pic>
      <xdr:nvPicPr>
        <xdr:cNvPr id="7" name="Imagen 6">
          <a:extLst>
            <a:ext uri="{FF2B5EF4-FFF2-40B4-BE49-F238E27FC236}">
              <a16:creationId xmlns:a16="http://schemas.microsoft.com/office/drawing/2014/main" id="{055CF426-89BB-4889-BEB7-5BCA01D3F69A}"/>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5900401" y="308666"/>
          <a:ext cx="2095499" cy="527978"/>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de la Paz Notario, Iván" id="{CCD81F4E-1DE3-4B4F-9D08-FDD968E9053E}" userId="S::ivan.delapaz@ineco.com::4a78ee10-31a0-446c-8d86-4d29f7a59064"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5D78FCC-71B7-40FD-9CAA-818342847001}" name="TablaMes" displayName="TablaMes" ref="B7:D38" totalsRowShown="0" headerRowBorderDxfId="84" tableBorderDxfId="83">
  <tableColumns count="3">
    <tableColumn id="1" xr3:uid="{4028CF08-CDCC-4E2F-9A10-BB65C48CA240}" name="DÍA" dataDxfId="82" dataCellStyle="Normal 4"/>
    <tableColumn id="2" xr3:uid="{982ACC42-E218-4A49-AFEA-5CF33231527A}" name="ALBALI" dataDxfId="81"/>
    <tableColumn id="3" xr3:uid="{7F72D4A6-B668-496A-BD98-8C1BD6E907FF}" name="ALIMUR" dataDxfId="80" dataCellStyle="Normal 2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6A5E15-5C4A-490E-B8EA-79B32C996576}" name="Tabla4" displayName="Tabla4" ref="C4:AH7" totalsRowShown="0" headerRowDxfId="79" headerRowBorderDxfId="78" tableBorderDxfId="77" totalsRowBorderDxfId="76" headerRowCellStyle="Normal 4">
  <tableColumns count="32">
    <tableColumn id="1" xr3:uid="{C0B3B70A-1B5F-49D8-BB96-D64FEC9BED55}" name="Día"/>
    <tableColumn id="2" xr3:uid="{6665327F-43C9-423B-8B3F-62217758520B}" name="1"/>
    <tableColumn id="3" xr3:uid="{67C62C9D-54EB-44B6-B859-C6F04A77F9B2}" name="2"/>
    <tableColumn id="4" xr3:uid="{D29036A0-8726-4F79-9EAC-9F4724160662}" name="3"/>
    <tableColumn id="5" xr3:uid="{54347558-AC88-4639-919D-6791AEDDA4AE}" name="4"/>
    <tableColumn id="6" xr3:uid="{BBD597AC-DBE0-4979-8B82-9D6451382D5B}" name="5"/>
    <tableColumn id="7" xr3:uid="{4B1FB5D4-F8D4-4992-8761-DFA8D15BF3E9}" name="6"/>
    <tableColumn id="8" xr3:uid="{0E37E080-BF9C-4DE9-A964-9593755E97BC}" name="7"/>
    <tableColumn id="9" xr3:uid="{53E4DCDB-9E35-44EE-88D7-8AE8E8489093}" name="8"/>
    <tableColumn id="10" xr3:uid="{388B77CD-AA00-4CDE-9D0B-AEF75EBED0F4}" name="9"/>
    <tableColumn id="11" xr3:uid="{73ADC538-8556-4667-9921-4122D31CCC5A}" name="10"/>
    <tableColumn id="12" xr3:uid="{29518636-6806-402F-9F9F-78DEB8E65929}" name="11"/>
    <tableColumn id="13" xr3:uid="{811F30BD-4485-47B5-87EF-E853890D193F}" name="12"/>
    <tableColumn id="14" xr3:uid="{CC56487A-2637-48AB-9020-8F1246360C69}" name="13"/>
    <tableColumn id="15" xr3:uid="{3B87A159-DA5D-4CAD-80FD-E3526CAFCA8A}" name="14"/>
    <tableColumn id="16" xr3:uid="{8DDE949A-A6B6-4F67-A54E-BD749FFF8D85}" name="15"/>
    <tableColumn id="17" xr3:uid="{2047CEAC-6366-400A-B969-71E67950987C}" name="16"/>
    <tableColumn id="18" xr3:uid="{16129708-8120-4EA4-8437-B2702FF24574}" name="17"/>
    <tableColumn id="19" xr3:uid="{A7F74203-D935-45B5-9F1D-5B8E024C32BF}" name="18"/>
    <tableColumn id="20" xr3:uid="{A662904F-D9EB-43CC-91AD-6267A7023528}" name="19"/>
    <tableColumn id="21" xr3:uid="{B5B39644-7053-487A-8521-92DC9518BBC1}" name="20"/>
    <tableColumn id="22" xr3:uid="{EB1BF7A7-B3C4-4FC6-8DCA-3847AD7C1DA9}" name="21"/>
    <tableColumn id="23" xr3:uid="{554A0D71-1082-4274-B759-C6AD0502AB1B}" name="22"/>
    <tableColumn id="24" xr3:uid="{1546742E-2C2C-43DC-9C79-B8ADF3FDD06F}" name="23"/>
    <tableColumn id="25" xr3:uid="{E683430F-99FD-47AE-8C60-34AE966C8B4E}" name="24"/>
    <tableColumn id="26" xr3:uid="{388DD878-39F2-4265-AE72-C1BC49C45726}" name="25"/>
    <tableColumn id="27" xr3:uid="{337013BD-462B-40B2-A7A8-A5B49EB87319}" name="26"/>
    <tableColumn id="28" xr3:uid="{B6F6A7A7-E17C-417F-831F-E95E5D39A478}" name="27"/>
    <tableColumn id="29" xr3:uid="{EAE92629-D47D-41F6-B66A-444170C6AB05}" name="28"/>
    <tableColumn id="30" xr3:uid="{B5DAB0E5-1F35-4A4C-9797-166B18785F07}" name="29"/>
    <tableColumn id="31" xr3:uid="{D5829FB9-DA2E-4283-BDF2-6A754A1E4E84}" name="30"/>
    <tableColumn id="32" xr3:uid="{44BB1A12-2D84-423B-8708-F621D2AE50DB}" name="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C455EB5-34FF-4FE5-9473-1CA0D74537CE}" name="Tabla44" displayName="Tabla44" ref="C4:AH7" totalsRowShown="0" headerRowDxfId="75" headerRowBorderDxfId="74" tableBorderDxfId="73" totalsRowBorderDxfId="72" headerRowCellStyle="Normal 4">
  <tableColumns count="32">
    <tableColumn id="1" xr3:uid="{DABA4C13-2B57-43F6-8BD1-67AF34C6E27E}" name="Día"/>
    <tableColumn id="2" xr3:uid="{38B57912-7730-4ACB-AD67-98A3A779F1E3}" name="1"/>
    <tableColumn id="3" xr3:uid="{5C60C697-BD34-4ED8-9BB1-CDF9EA6D572D}" name="2"/>
    <tableColumn id="4" xr3:uid="{19147448-F236-48B0-97FD-990377E9D141}" name="3"/>
    <tableColumn id="5" xr3:uid="{20C97991-F38A-4A58-AA69-1769BE141954}" name="4"/>
    <tableColumn id="6" xr3:uid="{1B4D1172-58BB-4985-B9A4-6ADA1F36E02F}" name="5"/>
    <tableColumn id="7" xr3:uid="{2016B3B1-1B8C-49FD-BA20-29021B856162}" name="6"/>
    <tableColumn id="8" xr3:uid="{EF0CC6BF-98F3-4969-8126-92BEBF80D8D9}" name="7"/>
    <tableColumn id="9" xr3:uid="{FF85E9B8-F771-4690-93BB-EF65C3B274F8}" name="8"/>
    <tableColumn id="10" xr3:uid="{A8E30487-2190-481E-A53A-226C2615A480}" name="9"/>
    <tableColumn id="11" xr3:uid="{A51B7779-E37B-4F48-8D62-F677B17C9194}" name="10"/>
    <tableColumn id="12" xr3:uid="{99362711-5C49-4849-921B-7AE067A95A96}" name="11"/>
    <tableColumn id="13" xr3:uid="{3199D574-7E18-4174-9EE9-9ABF53EA02FC}" name="12"/>
    <tableColumn id="14" xr3:uid="{075FE2C2-F7F5-4649-A0EA-C9C3CCD09626}" name="13"/>
    <tableColumn id="15" xr3:uid="{29FA2C8D-581A-4D26-B576-195149FD4DDD}" name="14"/>
    <tableColumn id="16" xr3:uid="{A27BC312-AB21-4120-B3D5-847758531A5C}" name="15"/>
    <tableColumn id="17" xr3:uid="{2C6766E3-4FC6-41CA-8763-EDC557394EE2}" name="16"/>
    <tableColumn id="18" xr3:uid="{15A3B1AE-C70F-4F00-872C-AD481B4F0944}" name="17"/>
    <tableColumn id="19" xr3:uid="{40C6B78A-3A59-4968-BCF3-DF60C4507E76}" name="18"/>
    <tableColumn id="20" xr3:uid="{3AF8237A-FFC2-40A1-A6C8-04E1B15178ED}" name="19"/>
    <tableColumn id="21" xr3:uid="{3A7D3BD7-9886-4E95-9BF8-F0F963968103}" name="20"/>
    <tableColumn id="22" xr3:uid="{A4263664-0AA1-4A7E-B470-4903775DFD80}" name="21"/>
    <tableColumn id="23" xr3:uid="{6FF000CF-1509-4748-9CF6-354ABB584201}" name="22"/>
    <tableColumn id="24" xr3:uid="{D8B2830D-0E1C-401D-912B-6789383778FD}" name="23"/>
    <tableColumn id="25" xr3:uid="{FFFCBE51-5D67-4E58-83B3-D7D633283075}" name="24"/>
    <tableColumn id="26" xr3:uid="{9EDF4398-E321-4C81-B63B-8C0D4EBE58F6}" name="25"/>
    <tableColumn id="27" xr3:uid="{DEFBEDCA-BFED-494C-ADEB-5E2E5DEF3A97}" name="26"/>
    <tableColumn id="28" xr3:uid="{87C7DA26-6FF5-44AE-AACF-9A3F6F738218}" name="27"/>
    <tableColumn id="29" xr3:uid="{CFAF27D9-D021-4DB2-BA9D-FF47EE957A52}" name="28"/>
    <tableColumn id="30" xr3:uid="{F8E5371F-3EC3-4AD8-9CC4-9E6478D2DC7E}" name="29"/>
    <tableColumn id="31" xr3:uid="{299DD42B-9A92-4F49-80B1-76D197C74BBB}" name="30"/>
    <tableColumn id="32" xr3:uid="{4979533E-E4A4-4AF3-B06B-B9C1864E2497}" name="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FC243BA-04CA-41FC-BA45-D7C6C83B2B14}" name="Tabla47" displayName="Tabla47" ref="C4:AH7" totalsRowShown="0" headerRowDxfId="71" headerRowBorderDxfId="70" tableBorderDxfId="69" totalsRowBorderDxfId="68" headerRowCellStyle="Normal 4">
  <tableColumns count="32">
    <tableColumn id="1" xr3:uid="{E4B89694-C8E9-4BD7-A049-F2188DFE1126}" name="Día"/>
    <tableColumn id="2" xr3:uid="{B3C29C53-BD6D-4C5D-9478-7B64A3956DB5}" name="1"/>
    <tableColumn id="3" xr3:uid="{078A37D1-4D40-4A6C-B18B-AE504C1A11E3}" name="2"/>
    <tableColumn id="4" xr3:uid="{C5499747-F93B-4270-B8C1-55F59910CD89}" name="3"/>
    <tableColumn id="5" xr3:uid="{07A85879-7A03-47F8-9BDE-C05CCF3BDE42}" name="4"/>
    <tableColumn id="6" xr3:uid="{DC19693A-85A1-45E3-B1B3-FD5F4094C8AD}" name="5"/>
    <tableColumn id="7" xr3:uid="{8C97FCE4-90FC-48A3-A3BE-1B630F8B798C}" name="6"/>
    <tableColumn id="8" xr3:uid="{607C6883-EA38-4A0C-A804-8DAB2A2398E7}" name="7"/>
    <tableColumn id="9" xr3:uid="{D58ADFDE-1026-48FD-A99D-A51BA3E9C2EC}" name="8"/>
    <tableColumn id="10" xr3:uid="{8B055D16-937B-4C82-887E-B121B06E40ED}" name="9"/>
    <tableColumn id="11" xr3:uid="{C2765FF7-7A4E-421F-A285-5C0FC4A054B2}" name="10"/>
    <tableColumn id="12" xr3:uid="{AB717B73-FEA3-4C90-9566-4941CF0E89B3}" name="11"/>
    <tableColumn id="13" xr3:uid="{94A82FCF-98B9-4607-94E1-A63CAC17026F}" name="12"/>
    <tableColumn id="14" xr3:uid="{5B45238F-10EC-4223-863E-023C96426B67}" name="13"/>
    <tableColumn id="15" xr3:uid="{9587C62B-6BDF-4E26-BCA8-9A047FA2F966}" name="14"/>
    <tableColumn id="16" xr3:uid="{EBAF8DDA-8EE8-46BB-878D-7B92C505B13A}" name="15"/>
    <tableColumn id="17" xr3:uid="{4EBBA5D1-12E7-4A0F-B190-25B04B628080}" name="16"/>
    <tableColumn id="18" xr3:uid="{5605C7EB-5577-4640-826C-6DE8310EEA21}" name="17"/>
    <tableColumn id="19" xr3:uid="{1EE88C7B-D903-4F14-A8BA-7E26FFDF59D4}" name="18"/>
    <tableColumn id="20" xr3:uid="{6A574F66-6903-41DF-B7B4-4C648E9F88DB}" name="19"/>
    <tableColumn id="21" xr3:uid="{215C5E1F-237F-42DD-9C7B-C19295C7FC5D}" name="20"/>
    <tableColumn id="22" xr3:uid="{F05F6862-A527-4986-928C-0835E35B2D3B}" name="21"/>
    <tableColumn id="23" xr3:uid="{4E928B79-AE1B-4CBA-B486-BD6118C06A64}" name="22"/>
    <tableColumn id="24" xr3:uid="{1124BD72-DDA5-4EA7-BF91-E68E3F64BB05}" name="23"/>
    <tableColumn id="25" xr3:uid="{D341DD87-2729-46BD-9742-8741BBB5B2E5}" name="24"/>
    <tableColumn id="26" xr3:uid="{D3FE7A59-7763-4456-BF95-F44DD6D6D904}" name="25"/>
    <tableColumn id="27" xr3:uid="{6DCB283E-0724-4D95-BAA5-4DA96FDC033C}" name="26"/>
    <tableColumn id="28" xr3:uid="{F45C694F-5FFE-48F3-B6AE-9A7A9E603A53}" name="27"/>
    <tableColumn id="29" xr3:uid="{3C1DA01C-7999-4F7B-8BF2-3E029F9E3E87}" name="28"/>
    <tableColumn id="30" xr3:uid="{6054C8D4-AD37-41C8-AC4D-E7265C9A9426}" name="29"/>
    <tableColumn id="31" xr3:uid="{842A687F-B6B4-4B29-BAF6-FB0713B46CC2}" name="30"/>
    <tableColumn id="32" xr3:uid="{95777857-CA85-4395-AEF2-7FFE574B44E4}" name="3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498CED-1E16-4D4D-A100-E3542BE12171}" name="Tabla46" displayName="Tabla46" ref="C4:AH7" totalsRowShown="0" headerRowDxfId="67" headerRowBorderDxfId="66" tableBorderDxfId="65" totalsRowBorderDxfId="64" headerRowCellStyle="Normal 4">
  <tableColumns count="32">
    <tableColumn id="1" xr3:uid="{D3365FF4-B957-4A0B-9683-B5B314832FD0}" name="Día"/>
    <tableColumn id="2" xr3:uid="{4B2CCC77-00D8-4BED-9410-4E89A5697A0A}" name="1"/>
    <tableColumn id="3" xr3:uid="{EE048636-8BEB-4B5E-BF9A-8BC3FFC84FD0}" name="2"/>
    <tableColumn id="4" xr3:uid="{B67F3265-6F91-41E4-A2A3-201A5E6AB10A}" name="3"/>
    <tableColumn id="5" xr3:uid="{CABAD7AD-8F47-450F-871F-FCF1117E7292}" name="4"/>
    <tableColumn id="6" xr3:uid="{1C06270C-7E96-4352-8BF9-0BC02549B72F}" name="5"/>
    <tableColumn id="7" xr3:uid="{F5444850-7EC7-4988-9E5C-EF676327564E}" name="6"/>
    <tableColumn id="8" xr3:uid="{8A7CB9E9-0B4E-4431-894E-D448D9E71B0B}" name="7"/>
    <tableColumn id="9" xr3:uid="{83020652-3B3E-4562-9608-E5751C08A0C6}" name="8"/>
    <tableColumn id="10" xr3:uid="{6A618741-7ABA-48EC-A424-30D1072FF4B1}" name="9"/>
    <tableColumn id="11" xr3:uid="{B7863314-16E3-4C47-BA83-29C9067FB5E5}" name="10"/>
    <tableColumn id="12" xr3:uid="{E6CF7EC1-2CDD-4784-8CA9-15EED46094DA}" name="11"/>
    <tableColumn id="13" xr3:uid="{0A84B0E9-5A06-4CF1-8EBE-8E324B66ACDC}" name="12"/>
    <tableColumn id="14" xr3:uid="{05B999BC-70F4-4330-95D8-AC7FFD4D3883}" name="13"/>
    <tableColumn id="15" xr3:uid="{D5849802-3635-4198-BD2E-267D1CFEF80A}" name="14"/>
    <tableColumn id="16" xr3:uid="{254F70D0-816B-4273-8646-383502C01D20}" name="15"/>
    <tableColumn id="17" xr3:uid="{45F4354E-4C80-4773-A016-DFA76FE55C35}" name="16"/>
    <tableColumn id="18" xr3:uid="{8FC950A6-FEF6-4C65-955A-DA8F89C2EE29}" name="17"/>
    <tableColumn id="19" xr3:uid="{F2502C38-F122-437F-9199-0CA9637E8B04}" name="18"/>
    <tableColumn id="20" xr3:uid="{37899DB3-78C1-45CC-AA9A-48EA0D8E6E89}" name="19"/>
    <tableColumn id="21" xr3:uid="{88FF4E95-9DDF-42A6-A0CB-03A571CEC6B4}" name="20"/>
    <tableColumn id="22" xr3:uid="{EB260179-09CF-4412-BC67-A42FB728184D}" name="21"/>
    <tableColumn id="23" xr3:uid="{14852637-7CCB-4408-98FE-161F99A44354}" name="22"/>
    <tableColumn id="24" xr3:uid="{BA4D6578-5EB6-4A1E-A905-5333EF798B1E}" name="23"/>
    <tableColumn id="25" xr3:uid="{E9D5D530-3007-44BD-BE78-334B7AD30F7F}" name="24"/>
    <tableColumn id="26" xr3:uid="{0D15E120-A74F-4D37-92CB-1A04D4B19B07}" name="25"/>
    <tableColumn id="27" xr3:uid="{3F2EFD71-CFE6-4CB7-884B-92E4FF175774}" name="26"/>
    <tableColumn id="28" xr3:uid="{C33FF9DA-91E6-463B-BA2A-3ED11E3E75AD}" name="27"/>
    <tableColumn id="29" xr3:uid="{383A4CEC-7DC1-4578-9350-8B95EBBCF42E}" name="28"/>
    <tableColumn id="30" xr3:uid="{7F89AB4F-0857-4B9A-8E50-316CF5280570}" name="29"/>
    <tableColumn id="31" xr3:uid="{B167CB68-147E-4CC6-B56E-8D9320A38C34}" name="30"/>
    <tableColumn id="32" xr3:uid="{12DD8603-3B99-40C8-8774-D66886FBF201}" name="3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321BBB8-C513-47A8-B947-CAC2F5D2C990}" name="Tabla48" displayName="Tabla48" ref="C4:AH7" totalsRowShown="0" headerRowDxfId="63" headerRowBorderDxfId="62" tableBorderDxfId="61" totalsRowBorderDxfId="60" headerRowCellStyle="Normal 4">
  <tableColumns count="32">
    <tableColumn id="1" xr3:uid="{A4E9A4D6-4ACF-4E8E-A5A4-5D1498808570}" name="Día"/>
    <tableColumn id="2" xr3:uid="{FB584245-5478-4977-9D64-64325CF56E30}" name="1"/>
    <tableColumn id="3" xr3:uid="{122568CD-090B-4B7D-A25B-C89EFA8B110E}" name="2"/>
    <tableColumn id="4" xr3:uid="{AB9538DB-9E09-43E7-8397-288813204CDD}" name="3"/>
    <tableColumn id="5" xr3:uid="{91F5CB38-9C2A-4139-A680-323206E93430}" name="4"/>
    <tableColumn id="6" xr3:uid="{8A6D4ACF-1DD6-4E4B-9EB4-EB94C76B127B}" name="5"/>
    <tableColumn id="7" xr3:uid="{C88FC3A6-82D1-447D-928D-CB15C5FD6BAB}" name="6"/>
    <tableColumn id="8" xr3:uid="{CFF8CE73-001E-4F46-B374-2B10A8CB1D0D}" name="7"/>
    <tableColumn id="9" xr3:uid="{18851DB9-B2B6-498A-B6B4-4584FA446174}" name="8"/>
    <tableColumn id="10" xr3:uid="{D164B1FC-E80D-47CA-9789-B8E7AA409B78}" name="9"/>
    <tableColumn id="11" xr3:uid="{F98E59CF-8C76-4C9B-9236-E4FF9FC1BAF4}" name="10"/>
    <tableColumn id="12" xr3:uid="{45525030-5AE8-492F-A8B6-3E000D02CC42}" name="11"/>
    <tableColumn id="13" xr3:uid="{CF395EBB-47D5-4829-8BBD-33B2974E5D9E}" name="12"/>
    <tableColumn id="14" xr3:uid="{BA16CD3C-B1A0-464A-81EF-9ACABEDBA7F1}" name="13"/>
    <tableColumn id="15" xr3:uid="{D727BD6A-7982-4CC4-8D16-7D138A3F6BA9}" name="14"/>
    <tableColumn id="16" xr3:uid="{2D4994C9-344C-4A1F-B99E-B16CB0F5E33D}" name="15"/>
    <tableColumn id="17" xr3:uid="{C3C9D57A-66BC-4039-9A7B-B62F497FEACA}" name="16"/>
    <tableColumn id="18" xr3:uid="{0C2BE849-8358-4F42-BA80-FD3C3720E949}" name="17"/>
    <tableColumn id="19" xr3:uid="{7D17851E-A4F3-4B20-80D6-E49C9BE813C1}" name="18"/>
    <tableColumn id="20" xr3:uid="{19B3E651-DBA0-4659-93D7-BA62BB3A155C}" name="19"/>
    <tableColumn id="21" xr3:uid="{A86D0A09-3443-45EA-9862-684338325EA5}" name="20"/>
    <tableColumn id="22" xr3:uid="{2445D331-F143-44F9-8612-D991B778D1FC}" name="21"/>
    <tableColumn id="23" xr3:uid="{B4FA2439-95AC-4776-B6DE-E28162514FCE}" name="22"/>
    <tableColumn id="24" xr3:uid="{06F0C38B-8384-4DB7-9431-2ED77D31ED10}" name="23"/>
    <tableColumn id="25" xr3:uid="{F0DE668E-8AD6-41FE-B6CA-94C12AAF518B}" name="24"/>
    <tableColumn id="26" xr3:uid="{F6AF8A23-3B22-4D49-9D67-D535A89CF976}" name="25"/>
    <tableColumn id="27" xr3:uid="{0391D32E-26D5-4B3F-B0DE-28DA50386608}" name="26"/>
    <tableColumn id="28" xr3:uid="{7E3A05EB-EB4B-4A6C-871E-5440D183AE63}" name="27"/>
    <tableColumn id="29" xr3:uid="{4053CF02-D798-4F0B-A493-A59B647DC425}" name="28"/>
    <tableColumn id="30" xr3:uid="{28E0E57F-5D93-4A01-A795-DC2F0C9D406B}" name="29"/>
    <tableColumn id="31" xr3:uid="{6229F6E0-3EE5-4520-81E5-434642C9F85B}" name="30"/>
    <tableColumn id="32" xr3:uid="{CCE59189-D53D-4937-94E4-C0B3F0DF30CD}" name="3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6245796-5B1B-4DF1-AA6A-46F4DC4BD080}" name="Tabla411" displayName="Tabla411" ref="C4:AH7" totalsRowShown="0" headerRowDxfId="59" headerRowBorderDxfId="58" tableBorderDxfId="57" totalsRowBorderDxfId="56" headerRowCellStyle="Normal 4">
  <tableColumns count="32">
    <tableColumn id="1" xr3:uid="{D443B43F-AFDF-4439-9CBD-8D810FB36599}" name="Día"/>
    <tableColumn id="2" xr3:uid="{0D01DE12-BC1A-4C04-B032-484B5545200A}" name="1"/>
    <tableColumn id="3" xr3:uid="{FA37D6B6-591F-4FBE-B224-FC0D76C89BF5}" name="2"/>
    <tableColumn id="4" xr3:uid="{43139D33-7EFF-445E-B9FA-C2D0064A38D6}" name="3"/>
    <tableColumn id="5" xr3:uid="{6E59CA2A-3BF5-4B8B-AF4E-A09FC09A5D02}" name="4"/>
    <tableColumn id="6" xr3:uid="{C636D11B-7040-48EA-9239-C85FFFD27C9E}" name="5"/>
    <tableColumn id="7" xr3:uid="{06167D87-1E4A-48F5-8C79-8A0C0F02B37D}" name="6"/>
    <tableColumn id="8" xr3:uid="{5850EBF1-7B97-4892-8BCA-B6A21A9D1C2D}" name="7"/>
    <tableColumn id="9" xr3:uid="{E86B1043-D706-4B29-91C2-C1B878477A35}" name="8"/>
    <tableColumn id="10" xr3:uid="{81219A31-CBBD-4DE8-B789-33033747D21B}" name="9"/>
    <tableColumn id="11" xr3:uid="{D6276FBA-2D88-4D25-8B8F-CD800D153979}" name="10"/>
    <tableColumn id="12" xr3:uid="{232D5E62-1EF5-44C8-9D92-B498D72AE310}" name="11"/>
    <tableColumn id="13" xr3:uid="{19064FA1-636A-4F6F-8A1D-F96AD6A341AD}" name="12"/>
    <tableColumn id="14" xr3:uid="{E5852CC7-164B-4A00-8125-B867FDF1E53C}" name="13"/>
    <tableColumn id="15" xr3:uid="{03114F21-75FD-4607-A516-0D1385778CF5}" name="14"/>
    <tableColumn id="16" xr3:uid="{738D0D7B-138B-40E9-826D-91E0DC9A5222}" name="15"/>
    <tableColumn id="17" xr3:uid="{2D93CE16-0817-49CE-8C00-27512224D9D7}" name="16"/>
    <tableColumn id="18" xr3:uid="{B41E09BB-CC1A-4FAF-B3A3-FD3BD7CE670C}" name="17"/>
    <tableColumn id="19" xr3:uid="{1861EF85-1889-41F0-A65A-A747A6BC82D2}" name="18"/>
    <tableColumn id="20" xr3:uid="{E486F9DE-0414-4F51-9932-F65A96A0856C}" name="19"/>
    <tableColumn id="21" xr3:uid="{048A8C67-07E4-410A-A871-4B41ECA9FEC3}" name="20"/>
    <tableColumn id="22" xr3:uid="{F20928CC-1FBC-4249-9A5F-0033CF475488}" name="21"/>
    <tableColumn id="23" xr3:uid="{C318C3A9-5105-44A8-8B33-6C1C4766BB4E}" name="22"/>
    <tableColumn id="24" xr3:uid="{9D66AEB2-DFA9-4BEF-9BCE-D8D96A8D2250}" name="23"/>
    <tableColumn id="25" xr3:uid="{581060DF-F872-4C97-8117-A9DC712E960B}" name="24"/>
    <tableColumn id="26" xr3:uid="{718A47B1-4505-44B5-9BE5-E67EB7648FC8}" name="25"/>
    <tableColumn id="27" xr3:uid="{B19077DE-64E9-461E-A421-D4450393A7C1}" name="26"/>
    <tableColumn id="28" xr3:uid="{EBBE3B38-0585-4E66-8D68-E1ED651BA191}" name="27"/>
    <tableColumn id="29" xr3:uid="{D7F6DB2D-810C-4751-AF5B-848EEB1A3896}" name="28"/>
    <tableColumn id="30" xr3:uid="{D1E80295-FAFA-4787-8DD1-2267971D3E16}" name="29"/>
    <tableColumn id="31" xr3:uid="{4E1CF4B5-AB18-403D-A08D-F5F9208F54DB}" name="30"/>
    <tableColumn id="32" xr3:uid="{15FA537A-1591-4BE5-83D5-E258DD8C5B9F}" name="3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3651A5C-4A7A-4378-A1AF-6278C22B788C}" name="Tabla49" displayName="Tabla49" ref="C4:AH7" totalsRowShown="0" headerRowDxfId="55" headerRowBorderDxfId="54" tableBorderDxfId="53" totalsRowBorderDxfId="52" headerRowCellStyle="Normal 4">
  <tableColumns count="32">
    <tableColumn id="1" xr3:uid="{1A0FD39E-3EC0-47BE-8BEF-3F3C631C43B1}" name="Día"/>
    <tableColumn id="2" xr3:uid="{9E65783F-17E9-4135-8289-9F494661C3FC}" name="1"/>
    <tableColumn id="3" xr3:uid="{EB2985C2-7470-4C58-9378-B0D0F7683B2B}" name="2"/>
    <tableColumn id="4" xr3:uid="{D3C15B75-A86D-48C4-A92C-905DEECB54B9}" name="3"/>
    <tableColumn id="5" xr3:uid="{C4AC59A7-9E93-433C-8100-E289CF38EF7D}" name="4"/>
    <tableColumn id="6" xr3:uid="{E9657086-E4BD-43B8-BA4B-4584CAC5EBB7}" name="5"/>
    <tableColumn id="7" xr3:uid="{66BF378E-7996-49EE-AC90-DC0D4358BE1D}" name="6"/>
    <tableColumn id="8" xr3:uid="{8460B4B0-E88C-4F0C-822B-5C2F2BE51F96}" name="7"/>
    <tableColumn id="9" xr3:uid="{FE6F50BF-9A3E-41E7-80C5-4C4F4D0A978D}" name="8"/>
    <tableColumn id="10" xr3:uid="{9C1501F5-952C-45C9-AD1A-6EB7DE30C1A2}" name="9"/>
    <tableColumn id="11" xr3:uid="{A0C9A790-D5A4-4448-A09D-4489C7761BD5}" name="10"/>
    <tableColumn id="12" xr3:uid="{DB8E796A-1AD6-44B5-89F9-AD7E0632D96C}" name="11"/>
    <tableColumn id="13" xr3:uid="{6366984F-4256-4F68-9687-0521FEDEA556}" name="12"/>
    <tableColumn id="14" xr3:uid="{4EEBEF7C-427E-45B2-9832-8E5A559558FD}" name="13"/>
    <tableColumn id="15" xr3:uid="{168A0023-95E5-491F-9CCD-57ECF4A194AD}" name="14"/>
    <tableColumn id="16" xr3:uid="{9FB9818E-B91F-416B-88E9-AD21C4C2D9F3}" name="15"/>
    <tableColumn id="17" xr3:uid="{1B0A8DCA-E695-40AB-ADA1-51F32329196B}" name="16"/>
    <tableColumn id="18" xr3:uid="{1FA469DC-9356-4FC1-98FD-E9125FF2F2DF}" name="17"/>
    <tableColumn id="19" xr3:uid="{08721FAF-48C6-40D2-A1CB-8F56B760EFAE}" name="18"/>
    <tableColumn id="20" xr3:uid="{990BAEE1-F6B9-411F-B379-0F7E4378232E}" name="19"/>
    <tableColumn id="21" xr3:uid="{723E399A-C3F3-4596-82B8-28FB6B8175BB}" name="20"/>
    <tableColumn id="22" xr3:uid="{A1E149B4-0662-4670-BA8A-7EA0DA5DAB45}" name="21"/>
    <tableColumn id="23" xr3:uid="{E6ACBFA6-98F9-422B-AF08-48F8C769B810}" name="22"/>
    <tableColumn id="24" xr3:uid="{2BB8E8E6-7F2A-4598-986F-46066D63A4D0}" name="23"/>
    <tableColumn id="25" xr3:uid="{73A7D8A3-9D3C-4D27-B715-307F14C4CCF3}" name="24"/>
    <tableColumn id="26" xr3:uid="{32205091-80C2-4107-9C4C-10BE737D5A10}" name="25"/>
    <tableColumn id="27" xr3:uid="{420ED867-B307-40AD-9003-C2364C11E441}" name="26"/>
    <tableColumn id="28" xr3:uid="{F98E07C6-9190-4AB9-A50F-045544B7E8A3}" name="27"/>
    <tableColumn id="29" xr3:uid="{C0C13861-FAFD-4C56-A06F-67559B978BE7}" name="28"/>
    <tableColumn id="30" xr3:uid="{24E47A58-0DF7-4C31-BFBD-A7E935EE9D83}" name="29"/>
    <tableColumn id="31" xr3:uid="{19C1BD0C-7861-45C9-91A1-A9A84BD11FCF}" name="30"/>
    <tableColumn id="32" xr3:uid="{0C485245-DAB5-4B0A-ABC4-7B1BA1068996}" name="3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E249D4C-A995-4A85-83E1-5A7DE82E518D}" name="Tabla410" displayName="Tabla410" ref="C4:AH7" totalsRowShown="0" headerRowDxfId="51" headerRowBorderDxfId="50" tableBorderDxfId="49" totalsRowBorderDxfId="48" headerRowCellStyle="Normal 4">
  <tableColumns count="32">
    <tableColumn id="1" xr3:uid="{45F1503E-7584-4832-8EC6-B5C0AEC2E275}" name="Día"/>
    <tableColumn id="2" xr3:uid="{1207EEF1-1813-4D68-A4CA-D8AF07A4D227}" name="1"/>
    <tableColumn id="3" xr3:uid="{9D45252A-086C-4D76-BEDE-89A4806CA5DA}" name="2"/>
    <tableColumn id="4" xr3:uid="{4FC4E883-2C7F-40D7-89AE-F9A018E9B79F}" name="3"/>
    <tableColumn id="5" xr3:uid="{7320CE0F-C349-4AEB-91A3-1DBFB62EDF66}" name="4"/>
    <tableColumn id="6" xr3:uid="{7B78BD01-ECC9-41CB-A3AF-0DFC231EE6FE}" name="5"/>
    <tableColumn id="7" xr3:uid="{5E57AD4E-698C-4ED5-A6A0-5E66CC63160C}" name="6"/>
    <tableColumn id="8" xr3:uid="{361282D4-DFCC-4355-A92D-6B2AE70AA6F0}" name="7"/>
    <tableColumn id="9" xr3:uid="{B2AE136E-8916-41FC-BB82-9E9E7EAF1A59}" name="8"/>
    <tableColumn id="10" xr3:uid="{CB98B9D7-A4CF-49E6-9236-B649C879D5C2}" name="9"/>
    <tableColumn id="11" xr3:uid="{FC27EDBE-1487-4932-BE06-BE8FD7ABBA21}" name="10"/>
    <tableColumn id="12" xr3:uid="{8D7C00E7-DFB1-4821-8B53-41FF6DD43DEA}" name="11"/>
    <tableColumn id="13" xr3:uid="{9C8D2909-F7A1-405B-8391-71F536208EFD}" name="12"/>
    <tableColumn id="14" xr3:uid="{03762D97-90F5-4213-868D-87598C472489}" name="13"/>
    <tableColumn id="15" xr3:uid="{E808D907-E0EC-470D-BFE6-6583C9D76635}" name="14"/>
    <tableColumn id="16" xr3:uid="{8CD01F39-5A98-4855-83CD-EE3DE271FA0C}" name="15"/>
    <tableColumn id="17" xr3:uid="{F99B555B-6F9C-4844-8395-F99C0E2DDB13}" name="16"/>
    <tableColumn id="18" xr3:uid="{B44AA677-C039-4B05-98A2-66DB538D10E6}" name="17"/>
    <tableColumn id="19" xr3:uid="{C275B19A-69F1-4BE7-9B55-858A2F5E5DFF}" name="18"/>
    <tableColumn id="20" xr3:uid="{0149EBAA-51C9-4D04-A6EE-05248FF1B1C8}" name="19"/>
    <tableColumn id="21" xr3:uid="{A233C63D-43C1-485B-967D-1C9603750C95}" name="20"/>
    <tableColumn id="22" xr3:uid="{BFB9D2BE-7C74-4D3D-B063-CF749BE983D4}" name="21"/>
    <tableColumn id="23" xr3:uid="{B1A49136-B11B-4DC8-B955-D19D7255C0E8}" name="22"/>
    <tableColumn id="24" xr3:uid="{53FF04FB-A65B-44D8-9535-24C757B8F4A4}" name="23"/>
    <tableColumn id="25" xr3:uid="{F0690C91-62BC-4AF7-8541-CC9A44B14EB1}" name="24"/>
    <tableColumn id="26" xr3:uid="{ADD26A72-F1CB-41C5-96DD-15A8945E7884}" name="25"/>
    <tableColumn id="27" xr3:uid="{C1305891-A70A-4A5B-8BA6-386C0D35C35D}" name="26"/>
    <tableColumn id="28" xr3:uid="{D89FFDE2-BCE3-4E6D-8CB7-6166884A602A}" name="27"/>
    <tableColumn id="29" xr3:uid="{D3E627A8-173C-4266-AAA8-4DF4E930F98E}" name="28"/>
    <tableColumn id="30" xr3:uid="{7F4CA62A-095F-45E7-925B-E5121153463B}" name="29"/>
    <tableColumn id="31" xr3:uid="{B4887EC9-86DD-47A5-B415-83749584DA85}" name="30"/>
    <tableColumn id="32" xr3:uid="{8B017FEB-7DD8-4BAB-99BE-C48E5A17E9C5}" name="3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FE26B8B-3E77-4B75-92D0-80AFD0A655ED}" name="Tabla412" displayName="Tabla412" ref="C4:AH7" totalsRowShown="0" headerRowDxfId="47" headerRowBorderDxfId="46" tableBorderDxfId="45" totalsRowBorderDxfId="44" headerRowCellStyle="Normal 4">
  <tableColumns count="32">
    <tableColumn id="1" xr3:uid="{CA574D69-89C9-4824-AE61-653F2C5A4686}" name="Día"/>
    <tableColumn id="2" xr3:uid="{4AE40949-9BF2-4D8A-9393-D6699D289B95}" name="1"/>
    <tableColumn id="3" xr3:uid="{3906A611-E5B7-4AF7-B85C-3BC5D5BDAF1D}" name="2"/>
    <tableColumn id="4" xr3:uid="{4F589D9B-041B-485B-A1A7-DF8AAEF65B06}" name="3"/>
    <tableColumn id="5" xr3:uid="{959AE271-02E6-43A6-84F9-87B256A262D1}" name="4"/>
    <tableColumn id="6" xr3:uid="{8DECEDC5-D5F0-44CB-A5B2-9D99B9FD4119}" name="5"/>
    <tableColumn id="7" xr3:uid="{4D2F0C57-22DC-46A1-ABE9-8F6ABEAB285F}" name="6"/>
    <tableColumn id="8" xr3:uid="{7413742E-8D3C-492B-AEEA-9098DFDF8986}" name="7"/>
    <tableColumn id="9" xr3:uid="{550D6620-0D66-42D1-9439-A91583908D96}" name="8"/>
    <tableColumn id="10" xr3:uid="{7866AD3A-F705-45FD-9D93-051F71726748}" name="9"/>
    <tableColumn id="11" xr3:uid="{0A1CB0C3-6A0D-4FAF-9EDD-E99BB3E37100}" name="10"/>
    <tableColumn id="12" xr3:uid="{7035CC2D-D8F2-4427-9B25-57EC8BAB3384}" name="11"/>
    <tableColumn id="13" xr3:uid="{E7D2C147-A07A-427B-9040-74963C4510A8}" name="12"/>
    <tableColumn id="14" xr3:uid="{2F00AF74-F29E-4E29-82CC-B9AC2793942B}" name="13"/>
    <tableColumn id="15" xr3:uid="{EB12D676-0F2D-4DFD-8A50-E3979F43524B}" name="14"/>
    <tableColumn id="16" xr3:uid="{5B034CAF-1FD9-4B8F-AE21-886DE93A0030}" name="15"/>
    <tableColumn id="17" xr3:uid="{967B6798-F221-41D8-AC61-41B6AC7E1B04}" name="16"/>
    <tableColumn id="18" xr3:uid="{9A78189A-953C-4764-BFBE-98273F8A45DA}" name="17"/>
    <tableColumn id="19" xr3:uid="{7BCF052C-5B4C-4473-B503-5715DC9B49DE}" name="18"/>
    <tableColumn id="20" xr3:uid="{0D280ED6-1C47-4022-A047-00F1D9CBE484}" name="19"/>
    <tableColumn id="21" xr3:uid="{24377D8F-7024-4373-87B5-315511FF621A}" name="20"/>
    <tableColumn id="22" xr3:uid="{F8C4FB9D-6408-45AD-A85B-397D6F74BF04}" name="21"/>
    <tableColumn id="23" xr3:uid="{9A638484-DB52-490D-AA42-CCE63FDA0E45}" name="22"/>
    <tableColumn id="24" xr3:uid="{6883C4F6-12AD-4DA5-BC0B-0CCB93B5C47C}" name="23"/>
    <tableColumn id="25" xr3:uid="{44A5C64E-DE7D-49C7-929B-96B6EEF499F5}" name="24"/>
    <tableColumn id="26" xr3:uid="{E741D3A0-7D54-464C-B317-FC3590EC8706}" name="25"/>
    <tableColumn id="27" xr3:uid="{E28CB627-02C7-4B1D-9834-ECB993199A38}" name="26"/>
    <tableColumn id="28" xr3:uid="{2F129846-B690-4DBB-92E8-FB5CAA76ACF0}" name="27"/>
    <tableColumn id="29" xr3:uid="{07BFDCE7-1357-4D1B-927A-10535BD4CB75}" name="28"/>
    <tableColumn id="30" xr3:uid="{957BA638-5471-4400-853D-45FC98CEB4A6}" name="29"/>
    <tableColumn id="31" xr3:uid="{2387ECFD-9B0D-4426-8F40-075C4215A4C9}" name="30"/>
    <tableColumn id="32" xr3:uid="{C6875582-7374-4363-BDBB-D4C8567DA7F0}" name="31"/>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2AF885E-BB8E-478C-9FFF-CCC4AC64BA91}" name="Tabla413" displayName="Tabla413" ref="C4:AH7" totalsRowShown="0" headerRowDxfId="43" headerRowBorderDxfId="42" tableBorderDxfId="41" totalsRowBorderDxfId="40" headerRowCellStyle="Normal 4">
  <tableColumns count="32">
    <tableColumn id="1" xr3:uid="{B07F3C42-C4D0-47C7-8633-D653A07D30CA}" name="Día"/>
    <tableColumn id="2" xr3:uid="{474F8159-7881-41C2-9801-ED4639AA7C40}" name="1"/>
    <tableColumn id="3" xr3:uid="{8F6DCB3E-4734-4E2E-97F6-A2C62E6B7EAD}" name="2"/>
    <tableColumn id="4" xr3:uid="{27CC9B64-BCBB-4679-8B6F-877E1E48FA6E}" name="3"/>
    <tableColumn id="5" xr3:uid="{A7A805E2-D410-4EDD-8E5C-8608C4F0E268}" name="4"/>
    <tableColumn id="6" xr3:uid="{64B541CD-90FD-4A2D-8DB7-9B0F2A6F7AD9}" name="5"/>
    <tableColumn id="7" xr3:uid="{045CB1EE-415A-49BA-9AE8-B19C07DBC428}" name="6"/>
    <tableColumn id="8" xr3:uid="{3261719F-FD23-4471-BDAF-92BF67A1A860}" name="7"/>
    <tableColumn id="9" xr3:uid="{4606799C-DE07-4CF1-9A02-6984A387CF70}" name="8"/>
    <tableColumn id="10" xr3:uid="{868EFB38-0552-4EEB-A1AF-15B804DBA81A}" name="9"/>
    <tableColumn id="11" xr3:uid="{7E0CB2C4-B616-4B6B-9B0D-27A0057BC8ED}" name="10"/>
    <tableColumn id="12" xr3:uid="{93BF7D59-FA54-4492-81CD-3D220BA1E700}" name="11"/>
    <tableColumn id="13" xr3:uid="{0781A140-3ACA-44D7-AAB0-496EBA97B84F}" name="12"/>
    <tableColumn id="14" xr3:uid="{DE35049D-4F12-4D55-B55D-9EC5D6216F6F}" name="13"/>
    <tableColumn id="15" xr3:uid="{0440D60D-095F-48A1-92AE-01AB2545655B}" name="14"/>
    <tableColumn id="16" xr3:uid="{CD72F126-AC59-4BE7-A226-A661FAC06A4D}" name="15"/>
    <tableColumn id="17" xr3:uid="{6D17B7DD-A4AB-4E2B-98A4-604BCC292CF9}" name="16"/>
    <tableColumn id="18" xr3:uid="{1516FF99-A094-40D0-BB75-6F388ACD2248}" name="17"/>
    <tableColumn id="19" xr3:uid="{1D9B60CC-EBB7-4628-A7BA-1697047415A7}" name="18"/>
    <tableColumn id="20" xr3:uid="{628C4D2D-55D7-4B1A-95F6-21848E2CECC5}" name="19"/>
    <tableColumn id="21" xr3:uid="{65F4D322-453D-49DE-890D-79FBD4303A01}" name="20"/>
    <tableColumn id="22" xr3:uid="{533F3A8C-123B-46E3-BD7C-7687A3835521}" name="21"/>
    <tableColumn id="23" xr3:uid="{C025464E-FFDE-4DCB-B678-44D36714A327}" name="22"/>
    <tableColumn id="24" xr3:uid="{174E5F8A-6FA1-442A-93F3-13480DB96F2D}" name="23"/>
    <tableColumn id="25" xr3:uid="{E848ED98-CC2F-4DA3-94D2-C9289ECC9EBF}" name="24"/>
    <tableColumn id="26" xr3:uid="{69C69806-324A-4080-8242-F5933BD7AF6C}" name="25"/>
    <tableColumn id="27" xr3:uid="{540D48E3-04EF-487F-AE04-078785B243BD}" name="26"/>
    <tableColumn id="28" xr3:uid="{0C485B09-D89C-4C5C-8A8B-980D13807364}" name="27"/>
    <tableColumn id="29" xr3:uid="{0DCC63F6-42B2-49DD-A683-4D8BA3F63A12}" name="28"/>
    <tableColumn id="30" xr3:uid="{07CB2E9C-A010-4366-93D6-FD586E29CC22}" name="29"/>
    <tableColumn id="31" xr3:uid="{CFCFE545-7682-4034-87E0-46B41FAC89A0}" name="30"/>
    <tableColumn id="32" xr3:uid="{7E40EB2B-9320-43D3-A9D0-E6A03E4C392C}" name="3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E2B43CA-B765-40CF-978D-24F619A4CE8C}" name="Tabla414" displayName="Tabla414" ref="C4:AH7" totalsRowShown="0" headerRowDxfId="3" headerRowBorderDxfId="1" tableBorderDxfId="2" totalsRowBorderDxfId="0" headerRowCellStyle="Normal 4">
  <tableColumns count="32">
    <tableColumn id="1" xr3:uid="{2CF97F9D-2CBA-4E04-BF29-AE4A931C4CF9}" name="Día"/>
    <tableColumn id="2" xr3:uid="{707FF807-2106-4CF1-807B-B882CE2AE667}" name="1"/>
    <tableColumn id="3" xr3:uid="{A1330877-5A37-4994-8A56-3F12ECE386FC}" name="2"/>
    <tableColumn id="4" xr3:uid="{A3C6AD94-94D8-4CFF-859F-143EDE5D50CA}" name="3"/>
    <tableColumn id="5" xr3:uid="{3D3B74E1-B15D-47BB-BA25-03AD6080C2DF}" name="4"/>
    <tableColumn id="6" xr3:uid="{9B0392E7-542A-4A69-8359-E117BCEA8375}" name="5"/>
    <tableColumn id="7" xr3:uid="{054AD100-3279-4EFF-88CF-FFD2F492BFD3}" name="6"/>
    <tableColumn id="8" xr3:uid="{3D47E4ED-CEA4-425C-B8CD-CE308E375D09}" name="7"/>
    <tableColumn id="9" xr3:uid="{51F79395-F38D-4840-BAAD-DEE3DCCB6916}" name="8"/>
    <tableColumn id="10" xr3:uid="{1A6EDADC-863E-47B3-9E9F-BC4151D30E7D}" name="9"/>
    <tableColumn id="11" xr3:uid="{FC5770FF-8086-4B74-A9AC-9255DE42E2F6}" name="10"/>
    <tableColumn id="12" xr3:uid="{FC34A008-E577-42F5-99E5-A04D7B9A870E}" name="11"/>
    <tableColumn id="13" xr3:uid="{E5D1A13D-DBE8-434E-A68D-583DF325BDE2}" name="12"/>
    <tableColumn id="14" xr3:uid="{7CEE7FC9-42C8-4E53-934F-709F1E0273C0}" name="13"/>
    <tableColumn id="15" xr3:uid="{A6744F38-D201-4215-9EBF-9CDDABF9EB3C}" name="14"/>
    <tableColumn id="16" xr3:uid="{1D2AB583-0511-4698-A6B1-93E516A539BD}" name="15"/>
    <tableColumn id="17" xr3:uid="{B74FE773-34A4-4F51-974D-D518E2AC1E5A}" name="16"/>
    <tableColumn id="18" xr3:uid="{D5C54F48-8C5A-443C-B219-349992DD50FA}" name="17"/>
    <tableColumn id="19" xr3:uid="{93860E06-C3AD-4D08-A132-CF181929400E}" name="18"/>
    <tableColumn id="20" xr3:uid="{1D597892-1871-476F-8F83-A5A57400F8FB}" name="19"/>
    <tableColumn id="21" xr3:uid="{6B32ECFB-794A-4BE3-9407-9362F5BDE733}" name="20"/>
    <tableColumn id="22" xr3:uid="{D2AE050C-9C94-4187-AE15-A98BC3CAF149}" name="21"/>
    <tableColumn id="23" xr3:uid="{DD8FA108-A20B-4287-9249-70005CBD6DE2}" name="22"/>
    <tableColumn id="24" xr3:uid="{E7260532-194E-4E52-93CB-FD79F95AFCD6}" name="23"/>
    <tableColumn id="25" xr3:uid="{F1146842-6AF7-4322-B4FC-2B65325EB8CB}" name="24"/>
    <tableColumn id="26" xr3:uid="{C97008B3-57EA-4CAD-886A-D83000BEBE1A}" name="25"/>
    <tableColumn id="27" xr3:uid="{E6C6A7D0-01AF-4E90-90F3-F62F4408BC37}" name="26"/>
    <tableColumn id="28" xr3:uid="{4346C972-97D6-43CF-814B-7C2CCB623F68}" name="27"/>
    <tableColumn id="29" xr3:uid="{F0180974-02C1-4CC3-A413-CE6E53F425AA}" name="28"/>
    <tableColumn id="30" xr3:uid="{F45A36F4-4EFB-41A9-B1A6-E9C5D695BF5C}" name="29"/>
    <tableColumn id="31" xr3:uid="{71F50ACB-4398-4DA9-A47F-7F9F6B8643A2}" name="30"/>
    <tableColumn id="32" xr3:uid="{395A3D06-E184-4477-BA8A-A9574D9F551C}" name="3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3D4352F-641C-4BD9-9A1A-2E318FD72A99}" name="TablaHistórico" displayName="TablaHistórico" ref="C4:AI148" totalsRowShown="0" headerRowDxfId="39" dataDxfId="38" tableBorderDxfId="37" dataCellStyle="Normal 3">
  <tableColumns count="33">
    <tableColumn id="1" xr3:uid="{028EC5A9-B347-42EA-BD96-AFD76B7B29E8}" name="MES" dataDxfId="36"/>
    <tableColumn id="2" xr3:uid="{BE546602-557A-4581-A340-D3DF3866420E}" name="1" dataDxfId="35" dataCellStyle="Normal 3"/>
    <tableColumn id="3" xr3:uid="{510F2B1C-8D45-4403-BFA1-C20DCB814165}" name="2" dataDxfId="34" dataCellStyle="Normal 3"/>
    <tableColumn id="4" xr3:uid="{5BDF413E-17D0-4E64-84B7-4C562CA89BDF}" name="3" dataDxfId="33" dataCellStyle="Normal 3"/>
    <tableColumn id="5" xr3:uid="{ED4A2066-ED1E-46D5-9B2E-C1EE7CEAA7DA}" name="4" dataDxfId="32" dataCellStyle="Normal 3"/>
    <tableColumn id="6" xr3:uid="{28DFAA5D-8D79-44E2-9D8E-CFF946AB770C}" name="5" dataDxfId="31" dataCellStyle="Normal 3"/>
    <tableColumn id="7" xr3:uid="{D7292DD8-5914-43F4-8F38-8078FF2743FF}" name="6" dataDxfId="30" dataCellStyle="Normal 3"/>
    <tableColumn id="8" xr3:uid="{16DBAAE3-21B1-4EC5-860A-B12EBFF67BCF}" name="7" dataDxfId="29" dataCellStyle="Normal 3"/>
    <tableColumn id="9" xr3:uid="{7F6BB346-7F38-4D45-925C-2F0BE41C8E65}" name="8" dataDxfId="28" dataCellStyle="Normal 3"/>
    <tableColumn id="10" xr3:uid="{AB2B6BFE-6364-4897-9C00-9DA4C6799277}" name="9" dataDxfId="27" dataCellStyle="Normal 3"/>
    <tableColumn id="11" xr3:uid="{618D9682-91C0-4814-AD17-987AE5AE5765}" name="10" dataDxfId="26" dataCellStyle="Normal 3"/>
    <tableColumn id="12" xr3:uid="{314179C6-7451-4AF0-BB66-6737224C582A}" name="11" dataDxfId="25" dataCellStyle="Normal 3"/>
    <tableColumn id="13" xr3:uid="{1B95E307-07F3-4473-95A5-D3A686823E35}" name="12" dataDxfId="24" dataCellStyle="Normal 3"/>
    <tableColumn id="14" xr3:uid="{CA729029-BD7D-492A-81C9-AD22E250386E}" name="13" dataDxfId="23" dataCellStyle="Normal 3"/>
    <tableColumn id="15" xr3:uid="{C9069BE8-B0E8-49C8-A864-77EEB7FD5EB2}" name="14" dataDxfId="22" dataCellStyle="Normal 3"/>
    <tableColumn id="16" xr3:uid="{69B86608-FF87-46E4-A972-2E420C60041D}" name="15" dataDxfId="21" dataCellStyle="Normal 3"/>
    <tableColumn id="17" xr3:uid="{2C2759CC-DDF4-4736-8ED6-D096E186911F}" name="16" dataDxfId="20" dataCellStyle="Normal 3"/>
    <tableColumn id="18" xr3:uid="{D3138689-F5CB-41D6-83DF-923077B7D013}" name="17" dataDxfId="19" dataCellStyle="Normal 3"/>
    <tableColumn id="19" xr3:uid="{5F3DF338-1355-4703-A545-704EF619C552}" name="18" dataDxfId="18" dataCellStyle="Normal 3"/>
    <tableColumn id="20" xr3:uid="{3E0ACFB4-5227-483C-84E8-87F528DD1723}" name="19" dataDxfId="17" dataCellStyle="Normal 3"/>
    <tableColumn id="21" xr3:uid="{CACF8970-4C06-493B-B600-6BDF4173EEE7}" name="20" dataDxfId="16" dataCellStyle="Normal 3"/>
    <tableColumn id="22" xr3:uid="{4EFFD2F4-11B6-495D-BDB1-175A07F802AA}" name="21" dataDxfId="15" dataCellStyle="Normal 3"/>
    <tableColumn id="23" xr3:uid="{6CAD2830-2EFF-4701-8DAC-BD8FA26AB9F2}" name="22" dataDxfId="14" dataCellStyle="Normal 3"/>
    <tableColumn id="24" xr3:uid="{04AFCEAF-97B5-4BE8-AF5D-327CC3F1502F}" name="23" dataDxfId="13" dataCellStyle="Normal 3"/>
    <tableColumn id="25" xr3:uid="{3E19BE53-BD0C-45D0-8D5C-F7F55817C768}" name="24" dataDxfId="12" dataCellStyle="Normal 3"/>
    <tableColumn id="26" xr3:uid="{29F7F853-8084-4FFA-B643-DDBFF33FE577}" name="25" dataDxfId="11" dataCellStyle="Normal 3"/>
    <tableColumn id="27" xr3:uid="{911C2CA4-872E-413B-BF05-23E1923B2ED8}" name="26" dataDxfId="10" dataCellStyle="Normal 3"/>
    <tableColumn id="28" xr3:uid="{5F379C64-4E19-4493-9853-89432A8574D3}" name="27" dataDxfId="9" dataCellStyle="Normal 3"/>
    <tableColumn id="29" xr3:uid="{14B3DE2D-C556-4A7C-9358-3E7101E86F62}" name="28" dataDxfId="8" dataCellStyle="Normal 3"/>
    <tableColumn id="30" xr3:uid="{0AFA2549-8270-4461-AD2B-AF5CA94D3AF6}" name="29" dataDxfId="7" dataCellStyle="Normal 3"/>
    <tableColumn id="31" xr3:uid="{18130896-DB40-4A74-80F7-9AB89CF5A630}" name="30" dataDxfId="6" dataCellStyle="Normal 3"/>
    <tableColumn id="32" xr3:uid="{61CF0D83-9CC1-45EE-A591-20A299E51879}" name="31" dataDxfId="5" dataCellStyle="Normal 3"/>
    <tableColumn id="33" xr3:uid="{2A3A007F-3876-4654-A4A6-ABADDD713C78}" name="TOTAL " dataDxfId="4"/>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J124" dT="2023-03-15T08:52:28.57" personId="{CCD81F4E-1DE3-4B4F-9D08-FDD968E9053E}" id="{44C845B6-AB21-47C8-BCFF-84634A83FB2E}">
    <text>37 = 2 x (9 Ave + 2 Avlo + 2 Alvia + 2 Ouigo + 2 Iryo) + 3 AVANT (Murcia-Alicante)</text>
  </threadedComment>
</ThreadedComments>
</file>

<file path=xl/threadedComments/threadedComment2.xml><?xml version="1.0" encoding="utf-8"?>
<ThreadedComments xmlns="http://schemas.microsoft.com/office/spreadsheetml/2018/threadedcomments" xmlns:x="http://schemas.openxmlformats.org/spreadsheetml/2006/main">
  <threadedComment ref="U86" dT="2024-07-15T09:15:04.23" personId="{CCD81F4E-1DE3-4B4F-9D08-FDD968E9053E}" id="{9017534F-72E5-4E25-A81F-3A60A839DA74}">
    <text>Inicio Restricciones COVID</text>
  </threadedComment>
  <threadedComment ref="L96" dT="2024-07-15T09:11:06.35" personId="{CCD81F4E-1DE3-4B4F-9D08-FDD968E9053E}" id="{9585BA52-D47A-474B-84F8-76475794F8BC}">
    <text>Filomena</text>
  </threadedComment>
  <threadedComment ref="W119" dT="2023-09-15T10:28:28.67" personId="{CCD81F4E-1DE3-4B4F-9D08-FDD968E9053E}" id="{F93906B1-D5E2-4093-B7D7-023D916EDDFF}">
    <text>AVANT MURCIA</text>
  </threadedComment>
  <threadedComment ref="AD122" dT="2023-09-15T10:27:56.21" personId="{CCD81F4E-1DE3-4B4F-9D08-FDD968E9053E}" id="{23CE0B34-A8E9-49BA-B1C1-63C2F998182C}">
    <text>Inicio Circulaciones AVLO</text>
  </threadedComment>
  <threadedComment ref="AD123" dT="2023-09-15T10:27:33.91" personId="{CCD81F4E-1DE3-4B4F-9D08-FDD968E9053E}" id="{59A9BB9F-F95A-426B-9CC9-BB0FECE54CD1}">
    <text>Inicio Circulaciones OUIGO</text>
  </threadedComment>
  <threadedComment ref="E125" dT="2023-09-15T10:26:08.09" personId="{CCD81F4E-1DE3-4B4F-9D08-FDD968E9053E}" id="{3BEA5B2D-CECA-4B14-8103-4E5BD51F76EF}">
    <text>Inicio Circulaciones IRYO</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table" Target="../tables/table13.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6D03B-BE3F-469F-9CC8-8B982FA21764}">
  <sheetPr codeName="Hoja7"/>
  <dimension ref="B1:AK135"/>
  <sheetViews>
    <sheetView topLeftCell="A104" workbookViewId="0">
      <selection activeCell="AK108" sqref="AK108"/>
    </sheetView>
  </sheetViews>
  <sheetFormatPr baseColWidth="10" defaultColWidth="11.44140625" defaultRowHeight="14.4" x14ac:dyDescent="0.3"/>
  <cols>
    <col min="1" max="1" width="1.77734375" customWidth="1"/>
    <col min="2" max="2" width="11.21875" customWidth="1"/>
    <col min="4" max="34" width="3.44140625" style="1" customWidth="1"/>
  </cols>
  <sheetData>
    <row r="1" spans="2:37" ht="17.100000000000001" customHeight="1" thickBot="1" x14ac:dyDescent="0.35"/>
    <row r="2" spans="2:37" ht="15.6" customHeight="1" x14ac:dyDescent="0.3">
      <c r="B2" s="272" t="s">
        <v>0</v>
      </c>
      <c r="C2" s="277" t="s">
        <v>1</v>
      </c>
      <c r="D2" s="279" t="s">
        <v>2</v>
      </c>
      <c r="E2" s="279"/>
      <c r="F2" s="279"/>
      <c r="G2" s="279"/>
      <c r="H2" s="279"/>
      <c r="I2" s="279"/>
      <c r="J2" s="279"/>
      <c r="K2" s="279"/>
      <c r="L2" s="279"/>
      <c r="M2" s="279"/>
      <c r="N2" s="279"/>
      <c r="O2" s="279"/>
      <c r="P2" s="279"/>
      <c r="Q2" s="279"/>
      <c r="R2" s="279"/>
      <c r="S2" s="279"/>
      <c r="T2" s="279"/>
      <c r="U2" s="279"/>
      <c r="V2" s="279"/>
      <c r="W2" s="279"/>
      <c r="X2" s="279"/>
      <c r="Y2" s="279"/>
      <c r="Z2" s="279"/>
      <c r="AA2" s="279"/>
      <c r="AB2" s="279"/>
      <c r="AC2" s="279"/>
      <c r="AD2" s="279"/>
      <c r="AE2" s="279"/>
      <c r="AF2" s="279"/>
      <c r="AG2" s="279"/>
      <c r="AH2" s="280"/>
      <c r="AI2" s="277" t="s">
        <v>3</v>
      </c>
    </row>
    <row r="3" spans="2:37" ht="27.6" customHeight="1" thickBot="1" x14ac:dyDescent="0.35">
      <c r="B3" s="274"/>
      <c r="C3" s="278"/>
      <c r="D3" s="28">
        <v>1</v>
      </c>
      <c r="E3" s="29">
        <v>2</v>
      </c>
      <c r="F3" s="29">
        <v>3</v>
      </c>
      <c r="G3" s="29">
        <v>4</v>
      </c>
      <c r="H3" s="29">
        <v>5</v>
      </c>
      <c r="I3" s="29">
        <v>6</v>
      </c>
      <c r="J3" s="29">
        <v>7</v>
      </c>
      <c r="K3" s="29">
        <v>8</v>
      </c>
      <c r="L3" s="29">
        <v>9</v>
      </c>
      <c r="M3" s="29">
        <v>10</v>
      </c>
      <c r="N3" s="29">
        <v>11</v>
      </c>
      <c r="O3" s="29">
        <v>12</v>
      </c>
      <c r="P3" s="29">
        <v>13</v>
      </c>
      <c r="Q3" s="29">
        <v>14</v>
      </c>
      <c r="R3" s="29">
        <v>15</v>
      </c>
      <c r="S3" s="29">
        <v>16</v>
      </c>
      <c r="T3" s="29">
        <v>17</v>
      </c>
      <c r="U3" s="29">
        <v>18</v>
      </c>
      <c r="V3" s="29">
        <v>19</v>
      </c>
      <c r="W3" s="29">
        <v>20</v>
      </c>
      <c r="X3" s="29">
        <v>21</v>
      </c>
      <c r="Y3" s="29">
        <v>22</v>
      </c>
      <c r="Z3" s="29">
        <v>23</v>
      </c>
      <c r="AA3" s="29">
        <v>24</v>
      </c>
      <c r="AB3" s="29">
        <v>25</v>
      </c>
      <c r="AC3" s="29">
        <v>26</v>
      </c>
      <c r="AD3" s="29">
        <v>27</v>
      </c>
      <c r="AE3" s="29">
        <v>28</v>
      </c>
      <c r="AF3" s="29">
        <v>29</v>
      </c>
      <c r="AG3" s="29">
        <v>30</v>
      </c>
      <c r="AH3" s="30">
        <v>31</v>
      </c>
      <c r="AI3" s="278"/>
    </row>
    <row r="4" spans="2:37" ht="15.6" x14ac:dyDescent="0.3">
      <c r="B4" s="273">
        <v>1</v>
      </c>
      <c r="C4" s="27">
        <v>41426</v>
      </c>
      <c r="D4" s="15">
        <v>12</v>
      </c>
      <c r="E4" s="15">
        <v>18</v>
      </c>
      <c r="F4" s="15">
        <v>18</v>
      </c>
      <c r="G4" s="15">
        <v>18</v>
      </c>
      <c r="H4" s="15">
        <v>18</v>
      </c>
      <c r="I4" s="15">
        <v>18</v>
      </c>
      <c r="J4" s="15">
        <v>19</v>
      </c>
      <c r="K4" s="15">
        <v>12</v>
      </c>
      <c r="L4" s="15">
        <v>18</v>
      </c>
      <c r="M4" s="15">
        <v>18</v>
      </c>
      <c r="N4" s="15">
        <v>18</v>
      </c>
      <c r="O4" s="16">
        <v>18</v>
      </c>
      <c r="P4" s="16">
        <v>18</v>
      </c>
      <c r="Q4" s="16">
        <v>19</v>
      </c>
      <c r="R4" s="16">
        <v>12</v>
      </c>
      <c r="S4" s="16">
        <v>18</v>
      </c>
      <c r="T4" s="16">
        <v>18</v>
      </c>
      <c r="U4" s="16">
        <v>18</v>
      </c>
      <c r="V4" s="16">
        <v>18</v>
      </c>
      <c r="W4" s="16">
        <v>18</v>
      </c>
      <c r="X4" s="16">
        <v>19</v>
      </c>
      <c r="Y4" s="16">
        <v>12</v>
      </c>
      <c r="Z4" s="16">
        <v>18</v>
      </c>
      <c r="AA4" s="16">
        <v>18</v>
      </c>
      <c r="AB4" s="16">
        <v>18</v>
      </c>
      <c r="AC4" s="16">
        <v>18</v>
      </c>
      <c r="AD4" s="16">
        <v>18</v>
      </c>
      <c r="AE4" s="16">
        <v>19</v>
      </c>
      <c r="AF4" s="16">
        <v>12</v>
      </c>
      <c r="AG4" s="16">
        <v>18</v>
      </c>
      <c r="AH4" s="17"/>
      <c r="AI4" s="20">
        <f>SUM(D4:AH4)</f>
        <v>514</v>
      </c>
      <c r="AJ4" s="275">
        <f>SUM(AI4:AI15)</f>
        <v>6281</v>
      </c>
    </row>
    <row r="5" spans="2:37" ht="15.6" x14ac:dyDescent="0.3">
      <c r="B5" s="273"/>
      <c r="C5" s="25">
        <v>41456</v>
      </c>
      <c r="D5" s="12">
        <v>18</v>
      </c>
      <c r="E5" s="12">
        <v>18</v>
      </c>
      <c r="F5" s="12">
        <v>18</v>
      </c>
      <c r="G5" s="12">
        <v>18</v>
      </c>
      <c r="H5" s="12">
        <v>19</v>
      </c>
      <c r="I5" s="12">
        <v>12</v>
      </c>
      <c r="J5" s="12">
        <v>18</v>
      </c>
      <c r="K5" s="12">
        <v>18</v>
      </c>
      <c r="L5" s="12">
        <v>18</v>
      </c>
      <c r="M5" s="12">
        <v>18</v>
      </c>
      <c r="N5" s="12">
        <v>18</v>
      </c>
      <c r="O5" s="12">
        <v>19</v>
      </c>
      <c r="P5" s="12">
        <v>12</v>
      </c>
      <c r="Q5" s="12">
        <v>18</v>
      </c>
      <c r="R5" s="12">
        <v>18</v>
      </c>
      <c r="S5" s="12">
        <v>18</v>
      </c>
      <c r="T5" s="12">
        <v>18</v>
      </c>
      <c r="U5" s="12">
        <v>18</v>
      </c>
      <c r="V5" s="12">
        <v>19</v>
      </c>
      <c r="W5" s="12">
        <v>12</v>
      </c>
      <c r="X5" s="12">
        <v>18</v>
      </c>
      <c r="Y5" s="12">
        <v>18</v>
      </c>
      <c r="Z5" s="12">
        <v>18</v>
      </c>
      <c r="AA5" s="12">
        <v>18</v>
      </c>
      <c r="AB5" s="12">
        <v>18</v>
      </c>
      <c r="AC5" s="12">
        <v>19</v>
      </c>
      <c r="AD5" s="12">
        <v>12</v>
      </c>
      <c r="AE5" s="12">
        <v>18</v>
      </c>
      <c r="AF5" s="12">
        <v>18</v>
      </c>
      <c r="AG5" s="12">
        <v>18</v>
      </c>
      <c r="AH5" s="14">
        <v>18</v>
      </c>
      <c r="AI5" s="21">
        <f t="shared" ref="AI5:AI68" si="0">SUM(D5:AH5)</f>
        <v>538</v>
      </c>
      <c r="AJ5" s="275"/>
    </row>
    <row r="6" spans="2:37" ht="15.6" x14ac:dyDescent="0.3">
      <c r="B6" s="273"/>
      <c r="C6" s="25">
        <v>41487</v>
      </c>
      <c r="D6" s="12">
        <v>18</v>
      </c>
      <c r="E6" s="12">
        <v>19</v>
      </c>
      <c r="F6" s="12">
        <v>12</v>
      </c>
      <c r="G6" s="12">
        <v>18</v>
      </c>
      <c r="H6" s="12">
        <v>18</v>
      </c>
      <c r="I6" s="12">
        <v>18</v>
      </c>
      <c r="J6" s="12">
        <v>18</v>
      </c>
      <c r="K6" s="12">
        <v>18</v>
      </c>
      <c r="L6" s="12">
        <v>19</v>
      </c>
      <c r="M6" s="12">
        <v>12</v>
      </c>
      <c r="N6" s="12">
        <v>18</v>
      </c>
      <c r="O6" s="12">
        <v>18</v>
      </c>
      <c r="P6" s="12">
        <v>18</v>
      </c>
      <c r="Q6" s="12">
        <v>18</v>
      </c>
      <c r="R6" s="12">
        <v>18</v>
      </c>
      <c r="S6" s="12">
        <v>19</v>
      </c>
      <c r="T6" s="12">
        <v>12</v>
      </c>
      <c r="U6" s="12">
        <v>18</v>
      </c>
      <c r="V6" s="12">
        <v>18</v>
      </c>
      <c r="W6" s="12">
        <v>18</v>
      </c>
      <c r="X6" s="12">
        <v>18</v>
      </c>
      <c r="Y6" s="12">
        <v>18</v>
      </c>
      <c r="Z6" s="12">
        <v>19</v>
      </c>
      <c r="AA6" s="12">
        <v>12</v>
      </c>
      <c r="AB6" s="12">
        <v>18</v>
      </c>
      <c r="AC6" s="12">
        <v>18</v>
      </c>
      <c r="AD6" s="12">
        <v>18</v>
      </c>
      <c r="AE6" s="12">
        <v>18</v>
      </c>
      <c r="AF6" s="12">
        <v>18</v>
      </c>
      <c r="AG6" s="12">
        <v>19</v>
      </c>
      <c r="AH6" s="14">
        <v>12</v>
      </c>
      <c r="AI6" s="21">
        <f t="shared" si="0"/>
        <v>533</v>
      </c>
      <c r="AJ6" s="275"/>
    </row>
    <row r="7" spans="2:37" ht="15.6" x14ac:dyDescent="0.3">
      <c r="B7" s="273"/>
      <c r="C7" s="25">
        <v>41518</v>
      </c>
      <c r="D7" s="12">
        <v>18</v>
      </c>
      <c r="E7" s="12">
        <v>18</v>
      </c>
      <c r="F7" s="12">
        <v>18</v>
      </c>
      <c r="G7" s="12">
        <v>18</v>
      </c>
      <c r="H7" s="12">
        <v>18</v>
      </c>
      <c r="I7" s="12">
        <v>19</v>
      </c>
      <c r="J7" s="12">
        <v>12</v>
      </c>
      <c r="K7" s="12">
        <v>18</v>
      </c>
      <c r="L7" s="12">
        <v>18</v>
      </c>
      <c r="M7" s="12">
        <v>18</v>
      </c>
      <c r="N7" s="12">
        <v>18</v>
      </c>
      <c r="O7" s="12">
        <v>18</v>
      </c>
      <c r="P7" s="12">
        <v>19</v>
      </c>
      <c r="Q7" s="12">
        <v>12</v>
      </c>
      <c r="R7" s="12">
        <v>18</v>
      </c>
      <c r="S7" s="12">
        <v>18</v>
      </c>
      <c r="T7" s="12">
        <v>18</v>
      </c>
      <c r="U7" s="12">
        <v>18</v>
      </c>
      <c r="V7" s="12">
        <v>18</v>
      </c>
      <c r="W7" s="12">
        <v>19</v>
      </c>
      <c r="X7" s="12">
        <v>12</v>
      </c>
      <c r="Y7" s="12">
        <v>18</v>
      </c>
      <c r="Z7" s="12">
        <v>18</v>
      </c>
      <c r="AA7" s="12">
        <v>18</v>
      </c>
      <c r="AB7" s="12">
        <v>18</v>
      </c>
      <c r="AC7" s="12">
        <v>18</v>
      </c>
      <c r="AD7" s="12">
        <v>19</v>
      </c>
      <c r="AE7" s="12">
        <v>12</v>
      </c>
      <c r="AF7" s="12">
        <v>18</v>
      </c>
      <c r="AG7" s="12">
        <v>18</v>
      </c>
      <c r="AH7" s="13"/>
      <c r="AI7" s="21">
        <f t="shared" si="0"/>
        <v>520</v>
      </c>
      <c r="AJ7" s="275"/>
    </row>
    <row r="8" spans="2:37" ht="15.6" x14ac:dyDescent="0.3">
      <c r="B8" s="273"/>
      <c r="C8" s="25">
        <v>41548</v>
      </c>
      <c r="D8" s="12">
        <v>18</v>
      </c>
      <c r="E8" s="12">
        <v>18</v>
      </c>
      <c r="F8" s="12">
        <v>18</v>
      </c>
      <c r="G8" s="12">
        <v>19</v>
      </c>
      <c r="H8" s="12">
        <v>12</v>
      </c>
      <c r="I8" s="12">
        <v>18</v>
      </c>
      <c r="J8" s="12">
        <v>18</v>
      </c>
      <c r="K8" s="12">
        <v>18</v>
      </c>
      <c r="L8" s="12">
        <v>18</v>
      </c>
      <c r="M8" s="12">
        <v>18</v>
      </c>
      <c r="N8" s="12">
        <v>19</v>
      </c>
      <c r="O8" s="12">
        <v>12</v>
      </c>
      <c r="P8" s="12">
        <v>18</v>
      </c>
      <c r="Q8" s="12">
        <v>18</v>
      </c>
      <c r="R8" s="12">
        <v>18</v>
      </c>
      <c r="S8" s="12">
        <v>18</v>
      </c>
      <c r="T8" s="12">
        <v>18</v>
      </c>
      <c r="U8" s="12">
        <v>19</v>
      </c>
      <c r="V8" s="12">
        <v>12</v>
      </c>
      <c r="W8" s="12">
        <v>18</v>
      </c>
      <c r="X8" s="12">
        <v>18</v>
      </c>
      <c r="Y8" s="12">
        <v>18</v>
      </c>
      <c r="Z8" s="12">
        <v>18</v>
      </c>
      <c r="AA8" s="12">
        <v>18</v>
      </c>
      <c r="AB8" s="12">
        <v>19</v>
      </c>
      <c r="AC8" s="12">
        <v>12</v>
      </c>
      <c r="AD8" s="12">
        <v>18</v>
      </c>
      <c r="AE8" s="12">
        <v>18</v>
      </c>
      <c r="AF8" s="12">
        <v>18</v>
      </c>
      <c r="AG8" s="12">
        <v>18</v>
      </c>
      <c r="AH8" s="14">
        <v>18</v>
      </c>
      <c r="AI8" s="21">
        <f t="shared" si="0"/>
        <v>538</v>
      </c>
      <c r="AJ8" s="275"/>
    </row>
    <row r="9" spans="2:37" ht="15.6" x14ac:dyDescent="0.3">
      <c r="B9" s="273"/>
      <c r="C9" s="25">
        <v>41579</v>
      </c>
      <c r="D9" s="12">
        <v>12</v>
      </c>
      <c r="E9" s="12">
        <v>12</v>
      </c>
      <c r="F9" s="12">
        <v>18</v>
      </c>
      <c r="G9" s="12">
        <v>18</v>
      </c>
      <c r="H9" s="12">
        <v>18</v>
      </c>
      <c r="I9" s="12">
        <v>18</v>
      </c>
      <c r="J9" s="12">
        <v>18</v>
      </c>
      <c r="K9" s="12">
        <v>19</v>
      </c>
      <c r="L9" s="12">
        <v>12</v>
      </c>
      <c r="M9" s="12">
        <v>18</v>
      </c>
      <c r="N9" s="12">
        <v>18</v>
      </c>
      <c r="O9" s="12">
        <v>18</v>
      </c>
      <c r="P9" s="12">
        <v>18</v>
      </c>
      <c r="Q9" s="12">
        <v>18</v>
      </c>
      <c r="R9" s="12">
        <v>19</v>
      </c>
      <c r="S9" s="12">
        <v>12</v>
      </c>
      <c r="T9" s="12">
        <v>18</v>
      </c>
      <c r="U9" s="12">
        <v>18</v>
      </c>
      <c r="V9" s="12">
        <v>18</v>
      </c>
      <c r="W9" s="12">
        <v>18</v>
      </c>
      <c r="X9" s="12">
        <v>18</v>
      </c>
      <c r="Y9" s="12">
        <v>19</v>
      </c>
      <c r="Z9" s="12">
        <v>12</v>
      </c>
      <c r="AA9" s="12">
        <v>18</v>
      </c>
      <c r="AB9" s="12">
        <v>18</v>
      </c>
      <c r="AC9" s="12">
        <v>18</v>
      </c>
      <c r="AD9" s="12">
        <v>18</v>
      </c>
      <c r="AE9" s="12">
        <v>18</v>
      </c>
      <c r="AF9" s="12">
        <v>19</v>
      </c>
      <c r="AG9" s="12">
        <v>12</v>
      </c>
      <c r="AH9" s="13"/>
      <c r="AI9" s="21">
        <f t="shared" si="0"/>
        <v>508</v>
      </c>
      <c r="AJ9" s="275"/>
    </row>
    <row r="10" spans="2:37" ht="15.6" x14ac:dyDescent="0.3">
      <c r="B10" s="273"/>
      <c r="C10" s="25">
        <v>41609</v>
      </c>
      <c r="D10" s="12">
        <v>18</v>
      </c>
      <c r="E10" s="12">
        <v>18</v>
      </c>
      <c r="F10" s="12">
        <v>18</v>
      </c>
      <c r="G10" s="12">
        <v>18</v>
      </c>
      <c r="H10" s="12">
        <v>18</v>
      </c>
      <c r="I10" s="12">
        <v>19</v>
      </c>
      <c r="J10" s="12">
        <v>12</v>
      </c>
      <c r="K10" s="12">
        <v>18</v>
      </c>
      <c r="L10" s="12">
        <v>18</v>
      </c>
      <c r="M10" s="12">
        <v>18</v>
      </c>
      <c r="N10" s="12">
        <v>18</v>
      </c>
      <c r="O10" s="12">
        <v>18</v>
      </c>
      <c r="P10" s="12">
        <v>19</v>
      </c>
      <c r="Q10" s="12">
        <v>12</v>
      </c>
      <c r="R10" s="12">
        <v>18</v>
      </c>
      <c r="S10" s="12">
        <v>18</v>
      </c>
      <c r="T10" s="12">
        <v>18</v>
      </c>
      <c r="U10" s="12">
        <v>18</v>
      </c>
      <c r="V10" s="12">
        <v>18</v>
      </c>
      <c r="W10" s="12">
        <v>19</v>
      </c>
      <c r="X10" s="12">
        <v>12</v>
      </c>
      <c r="Y10" s="12">
        <v>18</v>
      </c>
      <c r="Z10" s="12">
        <v>18</v>
      </c>
      <c r="AA10" s="12">
        <v>18</v>
      </c>
      <c r="AB10" s="12">
        <v>18</v>
      </c>
      <c r="AC10" s="12">
        <v>18</v>
      </c>
      <c r="AD10" s="12">
        <v>19</v>
      </c>
      <c r="AE10" s="12">
        <v>12</v>
      </c>
      <c r="AF10" s="12">
        <v>18</v>
      </c>
      <c r="AG10" s="12">
        <v>18</v>
      </c>
      <c r="AH10" s="14">
        <v>18</v>
      </c>
      <c r="AI10" s="21">
        <f t="shared" si="0"/>
        <v>538</v>
      </c>
      <c r="AJ10" s="275"/>
    </row>
    <row r="11" spans="2:37" ht="15.6" x14ac:dyDescent="0.3">
      <c r="B11" s="273"/>
      <c r="C11" s="25">
        <v>41640</v>
      </c>
      <c r="D11" s="12">
        <v>18</v>
      </c>
      <c r="E11" s="12">
        <v>18</v>
      </c>
      <c r="F11" s="12">
        <v>19</v>
      </c>
      <c r="G11" s="12">
        <v>12</v>
      </c>
      <c r="H11" s="12">
        <v>18</v>
      </c>
      <c r="I11" s="12">
        <v>18</v>
      </c>
      <c r="J11" s="12">
        <v>18</v>
      </c>
      <c r="K11" s="12">
        <v>18</v>
      </c>
      <c r="L11" s="12">
        <v>18</v>
      </c>
      <c r="M11" s="12">
        <v>19</v>
      </c>
      <c r="N11" s="12">
        <v>14</v>
      </c>
      <c r="O11" s="12">
        <v>15</v>
      </c>
      <c r="P11" s="12">
        <v>18</v>
      </c>
      <c r="Q11" s="12">
        <v>18</v>
      </c>
      <c r="R11" s="12">
        <v>18</v>
      </c>
      <c r="S11" s="12">
        <v>18</v>
      </c>
      <c r="T11" s="12">
        <v>19</v>
      </c>
      <c r="U11" s="12">
        <v>14</v>
      </c>
      <c r="V11" s="12">
        <v>15</v>
      </c>
      <c r="W11" s="12">
        <v>18</v>
      </c>
      <c r="X11" s="12">
        <v>18</v>
      </c>
      <c r="Y11" s="12">
        <v>18</v>
      </c>
      <c r="Z11" s="12">
        <v>18</v>
      </c>
      <c r="AA11" s="12">
        <v>19</v>
      </c>
      <c r="AB11" s="12">
        <v>14</v>
      </c>
      <c r="AC11" s="12">
        <v>15</v>
      </c>
      <c r="AD11" s="12">
        <v>18</v>
      </c>
      <c r="AE11" s="12">
        <v>18</v>
      </c>
      <c r="AF11" s="12">
        <v>18</v>
      </c>
      <c r="AG11" s="12">
        <v>18</v>
      </c>
      <c r="AH11" s="14">
        <v>19</v>
      </c>
      <c r="AI11" s="21">
        <f t="shared" si="0"/>
        <v>536</v>
      </c>
      <c r="AJ11" s="275"/>
    </row>
    <row r="12" spans="2:37" ht="15.6" x14ac:dyDescent="0.3">
      <c r="B12" s="273"/>
      <c r="C12" s="25">
        <v>41671</v>
      </c>
      <c r="D12" s="12">
        <v>14</v>
      </c>
      <c r="E12" s="12">
        <v>15</v>
      </c>
      <c r="F12" s="12">
        <v>18</v>
      </c>
      <c r="G12" s="12">
        <v>18</v>
      </c>
      <c r="H12" s="12">
        <v>18</v>
      </c>
      <c r="I12" s="12">
        <v>18</v>
      </c>
      <c r="J12" s="12">
        <v>19</v>
      </c>
      <c r="K12" s="12">
        <v>14</v>
      </c>
      <c r="L12" s="12">
        <v>15</v>
      </c>
      <c r="M12" s="12">
        <v>18</v>
      </c>
      <c r="N12" s="12">
        <v>18</v>
      </c>
      <c r="O12" s="12">
        <v>18</v>
      </c>
      <c r="P12" s="12">
        <v>18</v>
      </c>
      <c r="Q12" s="12">
        <v>19</v>
      </c>
      <c r="R12" s="12">
        <v>14</v>
      </c>
      <c r="S12" s="12">
        <v>15</v>
      </c>
      <c r="T12" s="12">
        <v>18</v>
      </c>
      <c r="U12" s="12">
        <v>18</v>
      </c>
      <c r="V12" s="12">
        <v>18</v>
      </c>
      <c r="W12" s="12">
        <v>18</v>
      </c>
      <c r="X12" s="12">
        <v>19</v>
      </c>
      <c r="Y12" s="12">
        <v>14</v>
      </c>
      <c r="Z12" s="12">
        <v>15</v>
      </c>
      <c r="AA12" s="12">
        <v>18</v>
      </c>
      <c r="AB12" s="12">
        <v>18</v>
      </c>
      <c r="AC12" s="12">
        <v>18</v>
      </c>
      <c r="AD12" s="12">
        <v>18</v>
      </c>
      <c r="AE12" s="12">
        <v>19</v>
      </c>
      <c r="AF12" s="12"/>
      <c r="AG12" s="12"/>
      <c r="AH12" s="13"/>
      <c r="AI12" s="21">
        <f t="shared" si="0"/>
        <v>480</v>
      </c>
      <c r="AJ12" s="275"/>
      <c r="AK12" s="31"/>
    </row>
    <row r="13" spans="2:37" ht="15.6" x14ac:dyDescent="0.3">
      <c r="B13" s="273"/>
      <c r="C13" s="25">
        <v>41699</v>
      </c>
      <c r="D13" s="12">
        <v>14</v>
      </c>
      <c r="E13" s="12">
        <v>15</v>
      </c>
      <c r="F13" s="12">
        <v>18</v>
      </c>
      <c r="G13" s="12">
        <v>18</v>
      </c>
      <c r="H13" s="12">
        <v>18</v>
      </c>
      <c r="I13" s="12">
        <v>18</v>
      </c>
      <c r="J13" s="12">
        <v>19</v>
      </c>
      <c r="K13" s="12">
        <v>14</v>
      </c>
      <c r="L13" s="12">
        <v>15</v>
      </c>
      <c r="M13" s="12">
        <v>18</v>
      </c>
      <c r="N13" s="12">
        <v>18</v>
      </c>
      <c r="O13" s="12">
        <v>18</v>
      </c>
      <c r="P13" s="12">
        <v>18</v>
      </c>
      <c r="Q13" s="12">
        <v>19</v>
      </c>
      <c r="R13" s="12">
        <v>14</v>
      </c>
      <c r="S13" s="12">
        <v>15</v>
      </c>
      <c r="T13" s="12">
        <v>18</v>
      </c>
      <c r="U13" s="12">
        <v>18</v>
      </c>
      <c r="V13" s="12">
        <v>18</v>
      </c>
      <c r="W13" s="12">
        <v>18</v>
      </c>
      <c r="X13" s="12">
        <v>19</v>
      </c>
      <c r="Y13" s="12">
        <v>14</v>
      </c>
      <c r="Z13" s="12">
        <v>15</v>
      </c>
      <c r="AA13" s="12">
        <v>18</v>
      </c>
      <c r="AB13" s="12">
        <v>18</v>
      </c>
      <c r="AC13" s="12">
        <v>18</v>
      </c>
      <c r="AD13" s="12">
        <v>18</v>
      </c>
      <c r="AE13" s="12">
        <v>19</v>
      </c>
      <c r="AF13" s="12">
        <v>14</v>
      </c>
      <c r="AG13" s="12">
        <v>15</v>
      </c>
      <c r="AH13" s="14">
        <v>18</v>
      </c>
      <c r="AI13" s="21">
        <f t="shared" si="0"/>
        <v>527</v>
      </c>
      <c r="AJ13" s="275"/>
    </row>
    <row r="14" spans="2:37" ht="15.6" x14ac:dyDescent="0.3">
      <c r="B14" s="273"/>
      <c r="C14" s="25">
        <v>41730</v>
      </c>
      <c r="D14" s="12">
        <v>18</v>
      </c>
      <c r="E14" s="12">
        <v>18</v>
      </c>
      <c r="F14" s="12">
        <v>18</v>
      </c>
      <c r="G14" s="12">
        <v>19</v>
      </c>
      <c r="H14" s="12">
        <v>14</v>
      </c>
      <c r="I14" s="12">
        <v>15</v>
      </c>
      <c r="J14" s="12">
        <v>18</v>
      </c>
      <c r="K14" s="12">
        <v>18</v>
      </c>
      <c r="L14" s="12">
        <v>18</v>
      </c>
      <c r="M14" s="12">
        <v>18</v>
      </c>
      <c r="N14" s="12">
        <v>19</v>
      </c>
      <c r="O14" s="12">
        <v>14</v>
      </c>
      <c r="P14" s="12">
        <v>15</v>
      </c>
      <c r="Q14" s="12">
        <v>18</v>
      </c>
      <c r="R14" s="12">
        <v>18</v>
      </c>
      <c r="S14" s="12">
        <v>18</v>
      </c>
      <c r="T14" s="12">
        <v>18</v>
      </c>
      <c r="U14" s="12">
        <v>19</v>
      </c>
      <c r="V14" s="12">
        <v>15</v>
      </c>
      <c r="W14" s="12">
        <v>16</v>
      </c>
      <c r="X14" s="12">
        <v>18</v>
      </c>
      <c r="Y14" s="12">
        <v>18</v>
      </c>
      <c r="Z14" s="12">
        <v>18</v>
      </c>
      <c r="AA14" s="12">
        <v>18</v>
      </c>
      <c r="AB14" s="12">
        <v>19</v>
      </c>
      <c r="AC14" s="12">
        <v>14</v>
      </c>
      <c r="AD14" s="12">
        <v>15</v>
      </c>
      <c r="AE14" s="12">
        <v>18</v>
      </c>
      <c r="AF14" s="12">
        <v>18</v>
      </c>
      <c r="AG14" s="12">
        <v>18</v>
      </c>
      <c r="AH14" s="13"/>
      <c r="AI14" s="21">
        <f t="shared" si="0"/>
        <v>518</v>
      </c>
      <c r="AJ14" s="275"/>
    </row>
    <row r="15" spans="2:37" ht="16.2" thickBot="1" x14ac:dyDescent="0.35">
      <c r="B15" s="274"/>
      <c r="C15" s="26">
        <v>41760</v>
      </c>
      <c r="D15" s="18">
        <v>18</v>
      </c>
      <c r="E15" s="18">
        <v>19</v>
      </c>
      <c r="F15" s="18">
        <v>14</v>
      </c>
      <c r="G15" s="18">
        <v>15</v>
      </c>
      <c r="H15" s="18">
        <v>18</v>
      </c>
      <c r="I15" s="18">
        <v>18</v>
      </c>
      <c r="J15" s="18">
        <v>18</v>
      </c>
      <c r="K15" s="18">
        <v>18</v>
      </c>
      <c r="L15" s="18">
        <v>19</v>
      </c>
      <c r="M15" s="18">
        <v>14</v>
      </c>
      <c r="N15" s="18">
        <v>15</v>
      </c>
      <c r="O15" s="18">
        <v>18</v>
      </c>
      <c r="P15" s="18">
        <v>18</v>
      </c>
      <c r="Q15" s="18">
        <v>18</v>
      </c>
      <c r="R15" s="18">
        <v>18</v>
      </c>
      <c r="S15" s="18">
        <v>19</v>
      </c>
      <c r="T15" s="18">
        <v>14</v>
      </c>
      <c r="U15" s="18">
        <v>15</v>
      </c>
      <c r="V15" s="18">
        <v>18</v>
      </c>
      <c r="W15" s="18">
        <v>18</v>
      </c>
      <c r="X15" s="18">
        <v>18</v>
      </c>
      <c r="Y15" s="18">
        <v>18</v>
      </c>
      <c r="Z15" s="18">
        <v>19</v>
      </c>
      <c r="AA15" s="18">
        <v>14</v>
      </c>
      <c r="AB15" s="18">
        <v>15</v>
      </c>
      <c r="AC15" s="18">
        <v>18</v>
      </c>
      <c r="AD15" s="18">
        <v>18</v>
      </c>
      <c r="AE15" s="18">
        <v>18</v>
      </c>
      <c r="AF15" s="18">
        <v>18</v>
      </c>
      <c r="AG15" s="18">
        <v>19</v>
      </c>
      <c r="AH15" s="19">
        <v>14</v>
      </c>
      <c r="AI15" s="22">
        <f t="shared" si="0"/>
        <v>531</v>
      </c>
      <c r="AJ15" s="275"/>
    </row>
    <row r="16" spans="2:37" ht="15.6" x14ac:dyDescent="0.3">
      <c r="B16" s="272">
        <v>2</v>
      </c>
      <c r="C16" s="24">
        <v>41791</v>
      </c>
      <c r="D16" s="15">
        <v>15</v>
      </c>
      <c r="E16" s="15">
        <v>18</v>
      </c>
      <c r="F16" s="15">
        <v>18</v>
      </c>
      <c r="G16" s="15">
        <v>18</v>
      </c>
      <c r="H16" s="15">
        <v>18</v>
      </c>
      <c r="I16" s="15">
        <v>19</v>
      </c>
      <c r="J16" s="15">
        <v>14</v>
      </c>
      <c r="K16" s="15">
        <v>15</v>
      </c>
      <c r="L16" s="15">
        <v>18</v>
      </c>
      <c r="M16" s="15">
        <v>18</v>
      </c>
      <c r="N16" s="15">
        <v>18</v>
      </c>
      <c r="O16" s="16">
        <v>18</v>
      </c>
      <c r="P16" s="16">
        <v>19</v>
      </c>
      <c r="Q16" s="16">
        <v>14</v>
      </c>
      <c r="R16" s="16">
        <v>16</v>
      </c>
      <c r="S16" s="16">
        <v>22</v>
      </c>
      <c r="T16" s="16">
        <v>22</v>
      </c>
      <c r="U16" s="16">
        <v>22</v>
      </c>
      <c r="V16" s="16">
        <v>22</v>
      </c>
      <c r="W16" s="16">
        <v>22</v>
      </c>
      <c r="X16" s="16">
        <v>16</v>
      </c>
      <c r="Y16" s="16">
        <v>19</v>
      </c>
      <c r="Z16" s="16">
        <v>22</v>
      </c>
      <c r="AA16" s="16">
        <v>22</v>
      </c>
      <c r="AB16" s="16">
        <v>22</v>
      </c>
      <c r="AC16" s="16">
        <v>22</v>
      </c>
      <c r="AD16" s="16">
        <v>22</v>
      </c>
      <c r="AE16" s="16">
        <v>16</v>
      </c>
      <c r="AF16" s="16">
        <v>19</v>
      </c>
      <c r="AG16" s="16">
        <v>22</v>
      </c>
      <c r="AH16" s="17"/>
      <c r="AI16" s="20">
        <f t="shared" si="0"/>
        <v>568</v>
      </c>
      <c r="AJ16" s="275">
        <f t="shared" ref="AJ16" si="1">SUM(AI16:AI27)</f>
        <v>7592</v>
      </c>
    </row>
    <row r="17" spans="2:36" ht="15.6" x14ac:dyDescent="0.3">
      <c r="B17" s="273"/>
      <c r="C17" s="25">
        <v>41821</v>
      </c>
      <c r="D17" s="12">
        <v>22</v>
      </c>
      <c r="E17" s="12">
        <v>22</v>
      </c>
      <c r="F17" s="12">
        <v>22</v>
      </c>
      <c r="G17" s="12">
        <v>22</v>
      </c>
      <c r="H17" s="12">
        <v>16</v>
      </c>
      <c r="I17" s="12">
        <v>19</v>
      </c>
      <c r="J17" s="12">
        <v>22</v>
      </c>
      <c r="K17" s="12">
        <v>22</v>
      </c>
      <c r="L17" s="12">
        <v>22</v>
      </c>
      <c r="M17" s="12">
        <v>22</v>
      </c>
      <c r="N17" s="12">
        <v>22</v>
      </c>
      <c r="O17" s="12">
        <v>16</v>
      </c>
      <c r="P17" s="12">
        <v>19</v>
      </c>
      <c r="Q17" s="12">
        <v>22</v>
      </c>
      <c r="R17" s="12">
        <v>22</v>
      </c>
      <c r="S17" s="12">
        <v>22</v>
      </c>
      <c r="T17" s="12">
        <v>22</v>
      </c>
      <c r="U17" s="12">
        <v>22</v>
      </c>
      <c r="V17" s="12">
        <v>16</v>
      </c>
      <c r="W17" s="12">
        <v>19</v>
      </c>
      <c r="X17" s="12">
        <v>22</v>
      </c>
      <c r="Y17" s="12">
        <v>22</v>
      </c>
      <c r="Z17" s="12">
        <v>22</v>
      </c>
      <c r="AA17" s="12">
        <v>22</v>
      </c>
      <c r="AB17" s="12">
        <v>22</v>
      </c>
      <c r="AC17" s="12">
        <v>16</v>
      </c>
      <c r="AD17" s="12">
        <v>19</v>
      </c>
      <c r="AE17" s="12">
        <v>22</v>
      </c>
      <c r="AF17" s="12">
        <v>22</v>
      </c>
      <c r="AG17" s="12">
        <v>22</v>
      </c>
      <c r="AH17" s="14">
        <v>22</v>
      </c>
      <c r="AI17" s="21">
        <f t="shared" si="0"/>
        <v>646</v>
      </c>
      <c r="AJ17" s="275"/>
    </row>
    <row r="18" spans="2:36" ht="15.6" x14ac:dyDescent="0.3">
      <c r="B18" s="273"/>
      <c r="C18" s="25">
        <v>41852</v>
      </c>
      <c r="D18" s="12">
        <v>22</v>
      </c>
      <c r="E18" s="12">
        <v>16</v>
      </c>
      <c r="F18" s="12">
        <v>19</v>
      </c>
      <c r="G18" s="12">
        <v>22</v>
      </c>
      <c r="H18" s="12">
        <v>22</v>
      </c>
      <c r="I18" s="12">
        <v>22</v>
      </c>
      <c r="J18" s="12">
        <v>22</v>
      </c>
      <c r="K18" s="12">
        <v>22</v>
      </c>
      <c r="L18" s="12">
        <v>16</v>
      </c>
      <c r="M18" s="12">
        <v>19</v>
      </c>
      <c r="N18" s="12">
        <v>22</v>
      </c>
      <c r="O18" s="12">
        <v>22</v>
      </c>
      <c r="P18" s="12">
        <v>22</v>
      </c>
      <c r="Q18" s="12">
        <v>22</v>
      </c>
      <c r="R18" s="12">
        <v>22</v>
      </c>
      <c r="S18" s="12">
        <v>16</v>
      </c>
      <c r="T18" s="12">
        <v>19</v>
      </c>
      <c r="U18" s="12">
        <v>22</v>
      </c>
      <c r="V18" s="12">
        <v>22</v>
      </c>
      <c r="W18" s="12">
        <v>22</v>
      </c>
      <c r="X18" s="12">
        <v>22</v>
      </c>
      <c r="Y18" s="12">
        <v>22</v>
      </c>
      <c r="Z18" s="12">
        <v>16</v>
      </c>
      <c r="AA18" s="12">
        <v>19</v>
      </c>
      <c r="AB18" s="12">
        <v>22</v>
      </c>
      <c r="AC18" s="12">
        <v>22</v>
      </c>
      <c r="AD18" s="12">
        <v>22</v>
      </c>
      <c r="AE18" s="12">
        <v>22</v>
      </c>
      <c r="AF18" s="12">
        <v>22</v>
      </c>
      <c r="AG18" s="12">
        <v>16</v>
      </c>
      <c r="AH18" s="14">
        <v>19</v>
      </c>
      <c r="AI18" s="21">
        <f t="shared" si="0"/>
        <v>637</v>
      </c>
      <c r="AJ18" s="275"/>
    </row>
    <row r="19" spans="2:36" ht="15.6" x14ac:dyDescent="0.3">
      <c r="B19" s="273"/>
      <c r="C19" s="25">
        <v>41883</v>
      </c>
      <c r="D19" s="12">
        <v>22</v>
      </c>
      <c r="E19" s="12">
        <v>22</v>
      </c>
      <c r="F19" s="12">
        <v>22</v>
      </c>
      <c r="G19" s="12">
        <v>22</v>
      </c>
      <c r="H19" s="12">
        <v>22</v>
      </c>
      <c r="I19" s="12">
        <v>16</v>
      </c>
      <c r="J19" s="12">
        <v>19</v>
      </c>
      <c r="K19" s="12">
        <v>22</v>
      </c>
      <c r="L19" s="12">
        <v>22</v>
      </c>
      <c r="M19" s="12">
        <v>22</v>
      </c>
      <c r="N19" s="12">
        <v>22</v>
      </c>
      <c r="O19" s="12">
        <v>22</v>
      </c>
      <c r="P19" s="12">
        <v>16</v>
      </c>
      <c r="Q19" s="12">
        <v>19</v>
      </c>
      <c r="R19" s="12">
        <v>22</v>
      </c>
      <c r="S19" s="12">
        <v>22</v>
      </c>
      <c r="T19" s="12">
        <v>22</v>
      </c>
      <c r="U19" s="12">
        <v>22</v>
      </c>
      <c r="V19" s="12">
        <v>22</v>
      </c>
      <c r="W19" s="12">
        <v>16</v>
      </c>
      <c r="X19" s="12">
        <v>19</v>
      </c>
      <c r="Y19" s="12">
        <v>22</v>
      </c>
      <c r="Z19" s="12">
        <v>22</v>
      </c>
      <c r="AA19" s="12">
        <v>22</v>
      </c>
      <c r="AB19" s="12">
        <v>22</v>
      </c>
      <c r="AC19" s="12">
        <v>22</v>
      </c>
      <c r="AD19" s="12">
        <v>16</v>
      </c>
      <c r="AE19" s="12">
        <v>19</v>
      </c>
      <c r="AF19" s="12">
        <v>22</v>
      </c>
      <c r="AG19" s="12">
        <v>22</v>
      </c>
      <c r="AH19" s="13"/>
      <c r="AI19" s="21">
        <f t="shared" si="0"/>
        <v>624</v>
      </c>
      <c r="AJ19" s="275"/>
    </row>
    <row r="20" spans="2:36" ht="15.6" x14ac:dyDescent="0.3">
      <c r="B20" s="273"/>
      <c r="C20" s="25">
        <v>41913</v>
      </c>
      <c r="D20" s="12">
        <v>22</v>
      </c>
      <c r="E20" s="12">
        <v>22</v>
      </c>
      <c r="F20" s="12">
        <v>22</v>
      </c>
      <c r="G20" s="12">
        <v>16</v>
      </c>
      <c r="H20" s="12">
        <v>19</v>
      </c>
      <c r="I20" s="12">
        <v>22</v>
      </c>
      <c r="J20" s="12">
        <v>22</v>
      </c>
      <c r="K20" s="12">
        <v>22</v>
      </c>
      <c r="L20" s="12">
        <v>22</v>
      </c>
      <c r="M20" s="12">
        <v>22</v>
      </c>
      <c r="N20" s="12">
        <v>16</v>
      </c>
      <c r="O20" s="12">
        <v>19</v>
      </c>
      <c r="P20" s="12">
        <v>22</v>
      </c>
      <c r="Q20" s="12">
        <v>22</v>
      </c>
      <c r="R20" s="12">
        <v>22</v>
      </c>
      <c r="S20" s="12">
        <v>22</v>
      </c>
      <c r="T20" s="12">
        <v>22</v>
      </c>
      <c r="U20" s="12">
        <v>16</v>
      </c>
      <c r="V20" s="12">
        <v>19</v>
      </c>
      <c r="W20" s="12">
        <v>22</v>
      </c>
      <c r="X20" s="12">
        <v>22</v>
      </c>
      <c r="Y20" s="12">
        <v>22</v>
      </c>
      <c r="Z20" s="12">
        <v>22</v>
      </c>
      <c r="AA20" s="12">
        <v>22</v>
      </c>
      <c r="AB20" s="12">
        <v>16</v>
      </c>
      <c r="AC20" s="12">
        <v>19</v>
      </c>
      <c r="AD20" s="12">
        <v>22</v>
      </c>
      <c r="AE20" s="12">
        <v>22</v>
      </c>
      <c r="AF20" s="12">
        <v>22</v>
      </c>
      <c r="AG20" s="12">
        <v>22</v>
      </c>
      <c r="AH20" s="14">
        <v>22</v>
      </c>
      <c r="AI20" s="21">
        <f t="shared" si="0"/>
        <v>646</v>
      </c>
      <c r="AJ20" s="275"/>
    </row>
    <row r="21" spans="2:36" ht="15.6" x14ac:dyDescent="0.3">
      <c r="B21" s="273"/>
      <c r="C21" s="25">
        <v>41944</v>
      </c>
      <c r="D21" s="12">
        <v>16</v>
      </c>
      <c r="E21" s="12">
        <v>19</v>
      </c>
      <c r="F21" s="12">
        <v>22</v>
      </c>
      <c r="G21" s="12">
        <v>22</v>
      </c>
      <c r="H21" s="12">
        <v>22</v>
      </c>
      <c r="I21" s="12">
        <v>22</v>
      </c>
      <c r="J21" s="12">
        <v>22</v>
      </c>
      <c r="K21" s="12">
        <v>16</v>
      </c>
      <c r="L21" s="12">
        <v>19</v>
      </c>
      <c r="M21" s="12">
        <v>22</v>
      </c>
      <c r="N21" s="12">
        <v>22</v>
      </c>
      <c r="O21" s="12">
        <v>22</v>
      </c>
      <c r="P21" s="12">
        <v>22</v>
      </c>
      <c r="Q21" s="12">
        <v>22</v>
      </c>
      <c r="R21" s="12">
        <v>16</v>
      </c>
      <c r="S21" s="12">
        <v>19</v>
      </c>
      <c r="T21" s="12">
        <v>22</v>
      </c>
      <c r="U21" s="12">
        <v>22</v>
      </c>
      <c r="V21" s="12">
        <v>22</v>
      </c>
      <c r="W21" s="12">
        <v>22</v>
      </c>
      <c r="X21" s="12">
        <v>22</v>
      </c>
      <c r="Y21" s="12">
        <v>16</v>
      </c>
      <c r="Z21" s="12">
        <v>19</v>
      </c>
      <c r="AA21" s="12">
        <v>22</v>
      </c>
      <c r="AB21" s="12">
        <v>22</v>
      </c>
      <c r="AC21" s="12">
        <v>22</v>
      </c>
      <c r="AD21" s="12">
        <v>22</v>
      </c>
      <c r="AE21" s="12">
        <v>22</v>
      </c>
      <c r="AF21" s="12">
        <v>16</v>
      </c>
      <c r="AG21" s="12">
        <v>19</v>
      </c>
      <c r="AH21" s="13"/>
      <c r="AI21" s="21">
        <f t="shared" si="0"/>
        <v>615</v>
      </c>
      <c r="AJ21" s="275"/>
    </row>
    <row r="22" spans="2:36" ht="15.6" x14ac:dyDescent="0.3">
      <c r="B22" s="273"/>
      <c r="C22" s="25">
        <v>41974</v>
      </c>
      <c r="D22" s="12">
        <v>22</v>
      </c>
      <c r="E22" s="12">
        <v>22</v>
      </c>
      <c r="F22" s="12">
        <v>22</v>
      </c>
      <c r="G22" s="12">
        <v>22</v>
      </c>
      <c r="H22" s="12">
        <v>22</v>
      </c>
      <c r="I22" s="12">
        <v>16</v>
      </c>
      <c r="J22" s="12">
        <v>19</v>
      </c>
      <c r="K22" s="12">
        <v>22</v>
      </c>
      <c r="L22" s="12">
        <v>22</v>
      </c>
      <c r="M22" s="12">
        <v>22</v>
      </c>
      <c r="N22" s="12">
        <v>22</v>
      </c>
      <c r="O22" s="12">
        <v>22</v>
      </c>
      <c r="P22" s="12">
        <v>16</v>
      </c>
      <c r="Q22" s="12">
        <v>19</v>
      </c>
      <c r="R22" s="12">
        <v>22</v>
      </c>
      <c r="S22" s="12">
        <v>22</v>
      </c>
      <c r="T22" s="12">
        <v>22</v>
      </c>
      <c r="U22" s="12">
        <v>22</v>
      </c>
      <c r="V22" s="12">
        <v>22</v>
      </c>
      <c r="W22" s="12">
        <v>16</v>
      </c>
      <c r="X22" s="12">
        <v>19</v>
      </c>
      <c r="Y22" s="12">
        <v>22</v>
      </c>
      <c r="Z22" s="12">
        <v>22</v>
      </c>
      <c r="AA22" s="12">
        <v>22</v>
      </c>
      <c r="AB22" s="12">
        <v>22</v>
      </c>
      <c r="AC22" s="12">
        <v>22</v>
      </c>
      <c r="AD22" s="12">
        <v>16</v>
      </c>
      <c r="AE22" s="12">
        <v>19</v>
      </c>
      <c r="AF22" s="12">
        <v>22</v>
      </c>
      <c r="AG22" s="12">
        <v>22</v>
      </c>
      <c r="AH22" s="14">
        <v>22</v>
      </c>
      <c r="AI22" s="21">
        <f t="shared" si="0"/>
        <v>646</v>
      </c>
      <c r="AJ22" s="275"/>
    </row>
    <row r="23" spans="2:36" ht="15.6" x14ac:dyDescent="0.3">
      <c r="B23" s="273"/>
      <c r="C23" s="25">
        <v>42005</v>
      </c>
      <c r="D23" s="12">
        <v>19</v>
      </c>
      <c r="E23" s="12">
        <v>22</v>
      </c>
      <c r="F23" s="12">
        <v>16</v>
      </c>
      <c r="G23" s="12">
        <v>19</v>
      </c>
      <c r="H23" s="12">
        <v>19</v>
      </c>
      <c r="I23" s="12">
        <v>19</v>
      </c>
      <c r="J23" s="12">
        <v>19</v>
      </c>
      <c r="K23" s="12">
        <v>19</v>
      </c>
      <c r="L23" s="12">
        <v>22</v>
      </c>
      <c r="M23" s="12">
        <v>16</v>
      </c>
      <c r="N23" s="12">
        <v>19</v>
      </c>
      <c r="O23" s="12">
        <v>19</v>
      </c>
      <c r="P23" s="12">
        <v>19</v>
      </c>
      <c r="Q23" s="12">
        <v>19</v>
      </c>
      <c r="R23" s="12">
        <v>19</v>
      </c>
      <c r="S23" s="12">
        <v>22</v>
      </c>
      <c r="T23" s="12">
        <v>16</v>
      </c>
      <c r="U23" s="12">
        <v>19</v>
      </c>
      <c r="V23" s="12">
        <v>19</v>
      </c>
      <c r="W23" s="12">
        <v>19</v>
      </c>
      <c r="X23" s="12">
        <v>19</v>
      </c>
      <c r="Y23" s="12">
        <v>19</v>
      </c>
      <c r="Z23" s="12">
        <v>22</v>
      </c>
      <c r="AA23" s="12">
        <v>16</v>
      </c>
      <c r="AB23" s="12">
        <v>19</v>
      </c>
      <c r="AC23" s="12">
        <v>19</v>
      </c>
      <c r="AD23" s="12">
        <v>19</v>
      </c>
      <c r="AE23" s="12">
        <v>19</v>
      </c>
      <c r="AF23" s="12">
        <v>19</v>
      </c>
      <c r="AG23" s="12">
        <v>22</v>
      </c>
      <c r="AH23" s="14">
        <v>16</v>
      </c>
      <c r="AI23" s="21">
        <f t="shared" si="0"/>
        <v>589</v>
      </c>
      <c r="AJ23" s="275"/>
    </row>
    <row r="24" spans="2:36" ht="15.6" x14ac:dyDescent="0.3">
      <c r="B24" s="273"/>
      <c r="C24" s="25">
        <v>42036</v>
      </c>
      <c r="D24" s="12">
        <v>21</v>
      </c>
      <c r="E24" s="12">
        <v>22</v>
      </c>
      <c r="F24" s="12">
        <v>22</v>
      </c>
      <c r="G24" s="12">
        <v>22</v>
      </c>
      <c r="H24" s="12">
        <v>22</v>
      </c>
      <c r="I24" s="12">
        <v>25</v>
      </c>
      <c r="J24" s="12">
        <v>19</v>
      </c>
      <c r="K24" s="12">
        <v>22</v>
      </c>
      <c r="L24" s="12">
        <v>22</v>
      </c>
      <c r="M24" s="12">
        <v>22</v>
      </c>
      <c r="N24" s="12">
        <v>22</v>
      </c>
      <c r="O24" s="12">
        <v>22</v>
      </c>
      <c r="P24" s="12">
        <v>25</v>
      </c>
      <c r="Q24" s="12">
        <v>19</v>
      </c>
      <c r="R24" s="12">
        <v>22</v>
      </c>
      <c r="S24" s="12">
        <v>22</v>
      </c>
      <c r="T24" s="12">
        <v>22</v>
      </c>
      <c r="U24" s="12">
        <v>22</v>
      </c>
      <c r="V24" s="12">
        <v>22</v>
      </c>
      <c r="W24" s="12">
        <v>25</v>
      </c>
      <c r="X24" s="12">
        <v>19</v>
      </c>
      <c r="Y24" s="12">
        <v>22</v>
      </c>
      <c r="Z24" s="12">
        <v>22</v>
      </c>
      <c r="AA24" s="12">
        <v>22</v>
      </c>
      <c r="AB24" s="12">
        <v>22</v>
      </c>
      <c r="AC24" s="12">
        <v>22</v>
      </c>
      <c r="AD24" s="12">
        <v>25</v>
      </c>
      <c r="AE24" s="12">
        <v>19</v>
      </c>
      <c r="AF24" s="12"/>
      <c r="AG24" s="12"/>
      <c r="AH24" s="13"/>
      <c r="AI24" s="21">
        <f t="shared" si="0"/>
        <v>615</v>
      </c>
      <c r="AJ24" s="275"/>
    </row>
    <row r="25" spans="2:36" ht="15.6" x14ac:dyDescent="0.3">
      <c r="B25" s="273"/>
      <c r="C25" s="25">
        <v>42064</v>
      </c>
      <c r="D25" s="12">
        <v>22</v>
      </c>
      <c r="E25" s="12">
        <v>22</v>
      </c>
      <c r="F25" s="12">
        <v>22</v>
      </c>
      <c r="G25" s="12">
        <v>22</v>
      </c>
      <c r="H25" s="12">
        <v>22</v>
      </c>
      <c r="I25" s="12">
        <v>25</v>
      </c>
      <c r="J25" s="12">
        <v>19</v>
      </c>
      <c r="K25" s="12">
        <v>22</v>
      </c>
      <c r="L25" s="12">
        <v>22</v>
      </c>
      <c r="M25" s="12">
        <v>22</v>
      </c>
      <c r="N25" s="12">
        <v>22</v>
      </c>
      <c r="O25" s="12">
        <v>22</v>
      </c>
      <c r="P25" s="12">
        <v>25</v>
      </c>
      <c r="Q25" s="12">
        <v>19</v>
      </c>
      <c r="R25" s="12">
        <v>22</v>
      </c>
      <c r="S25" s="12">
        <v>22</v>
      </c>
      <c r="T25" s="12">
        <v>22</v>
      </c>
      <c r="U25" s="12">
        <v>22</v>
      </c>
      <c r="V25" s="12">
        <v>22</v>
      </c>
      <c r="W25" s="12">
        <v>25</v>
      </c>
      <c r="X25" s="12">
        <v>19</v>
      </c>
      <c r="Y25" s="12">
        <v>22</v>
      </c>
      <c r="Z25" s="12">
        <v>22</v>
      </c>
      <c r="AA25" s="12">
        <v>22</v>
      </c>
      <c r="AB25" s="12">
        <v>22</v>
      </c>
      <c r="AC25" s="12">
        <v>22</v>
      </c>
      <c r="AD25" s="12">
        <v>25</v>
      </c>
      <c r="AE25" s="12">
        <v>19</v>
      </c>
      <c r="AF25" s="12">
        <v>22</v>
      </c>
      <c r="AG25" s="12">
        <v>22</v>
      </c>
      <c r="AH25" s="14">
        <v>22</v>
      </c>
      <c r="AI25" s="21">
        <f t="shared" si="0"/>
        <v>682</v>
      </c>
      <c r="AJ25" s="275"/>
    </row>
    <row r="26" spans="2:36" ht="15.6" x14ac:dyDescent="0.3">
      <c r="B26" s="273"/>
      <c r="C26" s="25">
        <v>42095</v>
      </c>
      <c r="D26" s="12">
        <v>22</v>
      </c>
      <c r="E26" s="12">
        <v>22</v>
      </c>
      <c r="F26" s="12">
        <v>25</v>
      </c>
      <c r="G26" s="12">
        <v>19</v>
      </c>
      <c r="H26" s="12">
        <v>22</v>
      </c>
      <c r="I26" s="12">
        <v>22</v>
      </c>
      <c r="J26" s="12">
        <v>22</v>
      </c>
      <c r="K26" s="12">
        <v>22</v>
      </c>
      <c r="L26" s="12">
        <v>22</v>
      </c>
      <c r="M26" s="12">
        <v>25</v>
      </c>
      <c r="N26" s="12">
        <v>19</v>
      </c>
      <c r="O26" s="12">
        <v>22</v>
      </c>
      <c r="P26" s="12">
        <v>22</v>
      </c>
      <c r="Q26" s="12">
        <v>22</v>
      </c>
      <c r="R26" s="12">
        <v>22</v>
      </c>
      <c r="S26" s="12">
        <v>22</v>
      </c>
      <c r="T26" s="12">
        <v>25</v>
      </c>
      <c r="U26" s="12">
        <v>19</v>
      </c>
      <c r="V26" s="12">
        <v>22</v>
      </c>
      <c r="W26" s="12">
        <v>22</v>
      </c>
      <c r="X26" s="12">
        <v>21</v>
      </c>
      <c r="Y26" s="12">
        <v>22</v>
      </c>
      <c r="Z26" s="12">
        <v>22</v>
      </c>
      <c r="AA26" s="12">
        <v>22</v>
      </c>
      <c r="AB26" s="12">
        <v>25</v>
      </c>
      <c r="AC26" s="12">
        <v>19</v>
      </c>
      <c r="AD26" s="12">
        <v>20</v>
      </c>
      <c r="AE26" s="12">
        <v>21</v>
      </c>
      <c r="AF26" s="12">
        <v>22</v>
      </c>
      <c r="AG26" s="12">
        <v>22</v>
      </c>
      <c r="AH26" s="13"/>
      <c r="AI26" s="21">
        <f t="shared" si="0"/>
        <v>656</v>
      </c>
      <c r="AJ26" s="275"/>
    </row>
    <row r="27" spans="2:36" ht="16.2" thickBot="1" x14ac:dyDescent="0.35">
      <c r="B27" s="274"/>
      <c r="C27" s="26">
        <v>42125</v>
      </c>
      <c r="D27" s="18">
        <v>25</v>
      </c>
      <c r="E27" s="18">
        <v>19</v>
      </c>
      <c r="F27" s="18">
        <v>20</v>
      </c>
      <c r="G27" s="18">
        <v>21</v>
      </c>
      <c r="H27" s="18">
        <v>22</v>
      </c>
      <c r="I27" s="18">
        <v>22</v>
      </c>
      <c r="J27" s="18">
        <v>22</v>
      </c>
      <c r="K27" s="18">
        <v>25</v>
      </c>
      <c r="L27" s="18">
        <v>19</v>
      </c>
      <c r="M27" s="18">
        <v>20</v>
      </c>
      <c r="N27" s="18">
        <v>21</v>
      </c>
      <c r="O27" s="18">
        <v>22</v>
      </c>
      <c r="P27" s="18">
        <v>22</v>
      </c>
      <c r="Q27" s="18">
        <v>22</v>
      </c>
      <c r="R27" s="18">
        <v>25</v>
      </c>
      <c r="S27" s="18">
        <v>19</v>
      </c>
      <c r="T27" s="18">
        <v>20</v>
      </c>
      <c r="U27" s="18">
        <v>21</v>
      </c>
      <c r="V27" s="18">
        <v>22</v>
      </c>
      <c r="W27" s="18">
        <v>22</v>
      </c>
      <c r="X27" s="18">
        <v>22</v>
      </c>
      <c r="Y27" s="18">
        <v>25</v>
      </c>
      <c r="Z27" s="18">
        <v>19</v>
      </c>
      <c r="AA27" s="18">
        <v>20</v>
      </c>
      <c r="AB27" s="18">
        <v>21</v>
      </c>
      <c r="AC27" s="18">
        <v>22</v>
      </c>
      <c r="AD27" s="18">
        <v>22</v>
      </c>
      <c r="AE27" s="18">
        <v>22</v>
      </c>
      <c r="AF27" s="18">
        <v>25</v>
      </c>
      <c r="AG27" s="18">
        <v>19</v>
      </c>
      <c r="AH27" s="19">
        <v>20</v>
      </c>
      <c r="AI27" s="22">
        <f t="shared" si="0"/>
        <v>668</v>
      </c>
      <c r="AJ27" s="275"/>
    </row>
    <row r="28" spans="2:36" ht="15.6" x14ac:dyDescent="0.3">
      <c r="B28" s="272">
        <v>3</v>
      </c>
      <c r="C28" s="24">
        <v>42156</v>
      </c>
      <c r="D28" s="15">
        <v>21</v>
      </c>
      <c r="E28" s="15">
        <v>22</v>
      </c>
      <c r="F28" s="15">
        <v>22</v>
      </c>
      <c r="G28" s="15">
        <v>22</v>
      </c>
      <c r="H28" s="15">
        <v>25</v>
      </c>
      <c r="I28" s="15">
        <v>19</v>
      </c>
      <c r="J28" s="15">
        <v>20</v>
      </c>
      <c r="K28" s="15">
        <v>21</v>
      </c>
      <c r="L28" s="15">
        <v>22</v>
      </c>
      <c r="M28" s="15">
        <v>22</v>
      </c>
      <c r="N28" s="15">
        <v>22</v>
      </c>
      <c r="O28" s="16">
        <v>25</v>
      </c>
      <c r="P28" s="16">
        <v>19</v>
      </c>
      <c r="Q28" s="16">
        <v>20</v>
      </c>
      <c r="R28" s="16">
        <v>21</v>
      </c>
      <c r="S28" s="16">
        <v>22</v>
      </c>
      <c r="T28" s="16">
        <v>22</v>
      </c>
      <c r="U28" s="16">
        <v>22</v>
      </c>
      <c r="V28" s="16">
        <v>25</v>
      </c>
      <c r="W28" s="16">
        <v>19</v>
      </c>
      <c r="X28" s="16">
        <v>20</v>
      </c>
      <c r="Y28" s="16">
        <v>24</v>
      </c>
      <c r="Z28" s="16">
        <v>24</v>
      </c>
      <c r="AA28" s="16">
        <v>24</v>
      </c>
      <c r="AB28" s="16">
        <v>24</v>
      </c>
      <c r="AC28" s="16">
        <v>24</v>
      </c>
      <c r="AD28" s="16">
        <v>19</v>
      </c>
      <c r="AE28" s="16">
        <v>21</v>
      </c>
      <c r="AF28" s="16">
        <v>24</v>
      </c>
      <c r="AG28" s="16">
        <v>24</v>
      </c>
      <c r="AH28" s="17"/>
      <c r="AI28" s="20">
        <f t="shared" si="0"/>
        <v>661</v>
      </c>
      <c r="AJ28" s="275">
        <f t="shared" ref="AJ28" si="2">SUM(AI28:AI39)</f>
        <v>7390</v>
      </c>
    </row>
    <row r="29" spans="2:36" ht="15.6" x14ac:dyDescent="0.3">
      <c r="B29" s="273"/>
      <c r="C29" s="25">
        <v>42186</v>
      </c>
      <c r="D29" s="12">
        <v>24</v>
      </c>
      <c r="E29" s="12">
        <v>24</v>
      </c>
      <c r="F29" s="12">
        <v>24</v>
      </c>
      <c r="G29" s="12">
        <v>19</v>
      </c>
      <c r="H29" s="12">
        <v>21</v>
      </c>
      <c r="I29" s="12">
        <v>24</v>
      </c>
      <c r="J29" s="12">
        <v>24</v>
      </c>
      <c r="K29" s="12">
        <v>24</v>
      </c>
      <c r="L29" s="12">
        <v>24</v>
      </c>
      <c r="M29" s="12">
        <v>24</v>
      </c>
      <c r="N29" s="12">
        <v>19</v>
      </c>
      <c r="O29" s="12">
        <v>21</v>
      </c>
      <c r="P29" s="12">
        <v>24</v>
      </c>
      <c r="Q29" s="12">
        <v>24</v>
      </c>
      <c r="R29" s="12">
        <v>24</v>
      </c>
      <c r="S29" s="12">
        <v>24</v>
      </c>
      <c r="T29" s="12">
        <v>24</v>
      </c>
      <c r="U29" s="12">
        <v>19</v>
      </c>
      <c r="V29" s="12">
        <v>21</v>
      </c>
      <c r="W29" s="12">
        <v>24</v>
      </c>
      <c r="X29" s="12">
        <v>24</v>
      </c>
      <c r="Y29" s="12">
        <v>24</v>
      </c>
      <c r="Z29" s="12">
        <v>24</v>
      </c>
      <c r="AA29" s="12">
        <v>24</v>
      </c>
      <c r="AB29" s="12">
        <v>19</v>
      </c>
      <c r="AC29" s="12">
        <v>21</v>
      </c>
      <c r="AD29" s="12">
        <v>24</v>
      </c>
      <c r="AE29" s="12">
        <v>26</v>
      </c>
      <c r="AF29" s="12">
        <v>24</v>
      </c>
      <c r="AG29" s="12">
        <v>24</v>
      </c>
      <c r="AH29" s="14">
        <v>26</v>
      </c>
      <c r="AI29" s="21">
        <f t="shared" si="0"/>
        <v>716</v>
      </c>
      <c r="AJ29" s="275"/>
    </row>
    <row r="30" spans="2:36" ht="15.6" x14ac:dyDescent="0.3">
      <c r="B30" s="273"/>
      <c r="C30" s="25">
        <v>42217</v>
      </c>
      <c r="D30" s="12">
        <v>19</v>
      </c>
      <c r="E30" s="12">
        <v>23</v>
      </c>
      <c r="F30" s="12">
        <v>24</v>
      </c>
      <c r="G30" s="12">
        <v>26</v>
      </c>
      <c r="H30" s="12">
        <v>24</v>
      </c>
      <c r="I30" s="12">
        <v>24</v>
      </c>
      <c r="J30" s="12">
        <v>26</v>
      </c>
      <c r="K30" s="12">
        <v>19</v>
      </c>
      <c r="L30" s="12">
        <v>23</v>
      </c>
      <c r="M30" s="12">
        <v>24</v>
      </c>
      <c r="N30" s="12">
        <v>26</v>
      </c>
      <c r="O30" s="12">
        <v>24</v>
      </c>
      <c r="P30" s="12">
        <v>24</v>
      </c>
      <c r="Q30" s="12">
        <v>26</v>
      </c>
      <c r="R30" s="12">
        <v>19</v>
      </c>
      <c r="S30" s="12">
        <v>23</v>
      </c>
      <c r="T30" s="12">
        <v>24</v>
      </c>
      <c r="U30" s="12">
        <v>26</v>
      </c>
      <c r="V30" s="12">
        <v>24</v>
      </c>
      <c r="W30" s="12">
        <v>24</v>
      </c>
      <c r="X30" s="12">
        <v>26</v>
      </c>
      <c r="Y30" s="12">
        <v>19</v>
      </c>
      <c r="Z30" s="12">
        <v>23</v>
      </c>
      <c r="AA30" s="12">
        <v>24</v>
      </c>
      <c r="AB30" s="12">
        <v>26</v>
      </c>
      <c r="AC30" s="12">
        <v>24</v>
      </c>
      <c r="AD30" s="12">
        <v>24</v>
      </c>
      <c r="AE30" s="12">
        <v>26</v>
      </c>
      <c r="AF30" s="12">
        <v>19</v>
      </c>
      <c r="AG30" s="12">
        <v>23</v>
      </c>
      <c r="AH30" s="14">
        <v>24</v>
      </c>
      <c r="AI30" s="21">
        <f t="shared" si="0"/>
        <v>730</v>
      </c>
      <c r="AJ30" s="275"/>
    </row>
    <row r="31" spans="2:36" ht="15.6" x14ac:dyDescent="0.3">
      <c r="B31" s="273"/>
      <c r="C31" s="25">
        <v>42248</v>
      </c>
      <c r="D31" s="12">
        <v>26</v>
      </c>
      <c r="E31" s="12">
        <v>24</v>
      </c>
      <c r="F31" s="12">
        <v>24</v>
      </c>
      <c r="G31" s="12">
        <v>26</v>
      </c>
      <c r="H31" s="12">
        <v>19</v>
      </c>
      <c r="I31" s="12">
        <v>23</v>
      </c>
      <c r="J31" s="12">
        <v>24</v>
      </c>
      <c r="K31" s="12">
        <v>26</v>
      </c>
      <c r="L31" s="12">
        <v>24</v>
      </c>
      <c r="M31" s="12">
        <v>24</v>
      </c>
      <c r="N31" s="12">
        <v>26</v>
      </c>
      <c r="O31" s="12">
        <v>19</v>
      </c>
      <c r="P31" s="12">
        <v>23</v>
      </c>
      <c r="Q31" s="12">
        <v>24</v>
      </c>
      <c r="R31" s="12">
        <v>26</v>
      </c>
      <c r="S31" s="12">
        <v>24</v>
      </c>
      <c r="T31" s="12">
        <v>24</v>
      </c>
      <c r="U31" s="12">
        <v>26</v>
      </c>
      <c r="V31" s="12">
        <v>19</v>
      </c>
      <c r="W31" s="12">
        <v>23</v>
      </c>
      <c r="X31" s="12">
        <v>24</v>
      </c>
      <c r="Y31" s="12">
        <v>26</v>
      </c>
      <c r="Z31" s="12">
        <v>24</v>
      </c>
      <c r="AA31" s="12">
        <v>24</v>
      </c>
      <c r="AB31" s="12">
        <v>26</v>
      </c>
      <c r="AC31" s="12">
        <v>19</v>
      </c>
      <c r="AD31" s="12">
        <v>23</v>
      </c>
      <c r="AE31" s="12">
        <v>24</v>
      </c>
      <c r="AF31" s="12">
        <v>26</v>
      </c>
      <c r="AG31" s="12">
        <v>24</v>
      </c>
      <c r="AH31" s="13"/>
      <c r="AI31" s="21">
        <f t="shared" si="0"/>
        <v>714</v>
      </c>
      <c r="AJ31" s="275"/>
    </row>
    <row r="32" spans="2:36" ht="15.6" x14ac:dyDescent="0.3">
      <c r="B32" s="273"/>
      <c r="C32" s="25">
        <v>42278</v>
      </c>
      <c r="D32" s="12">
        <v>20</v>
      </c>
      <c r="E32" s="12">
        <v>21</v>
      </c>
      <c r="F32" s="12">
        <v>15</v>
      </c>
      <c r="G32" s="12">
        <v>19</v>
      </c>
      <c r="H32" s="12">
        <v>20</v>
      </c>
      <c r="I32" s="12">
        <v>20</v>
      </c>
      <c r="J32" s="12">
        <v>20</v>
      </c>
      <c r="K32" s="12">
        <v>22</v>
      </c>
      <c r="L32" s="12">
        <v>21</v>
      </c>
      <c r="M32" s="12">
        <v>16</v>
      </c>
      <c r="N32" s="12">
        <v>16</v>
      </c>
      <c r="O32" s="12">
        <v>20</v>
      </c>
      <c r="P32" s="12">
        <v>20</v>
      </c>
      <c r="Q32" s="12">
        <v>20</v>
      </c>
      <c r="R32" s="12">
        <v>20</v>
      </c>
      <c r="S32" s="12">
        <v>21</v>
      </c>
      <c r="T32" s="12">
        <v>16</v>
      </c>
      <c r="U32" s="12">
        <v>19</v>
      </c>
      <c r="V32" s="12">
        <v>20</v>
      </c>
      <c r="W32" s="12">
        <v>20</v>
      </c>
      <c r="X32" s="12">
        <v>20</v>
      </c>
      <c r="Y32" s="12">
        <v>20</v>
      </c>
      <c r="Z32" s="12">
        <v>21</v>
      </c>
      <c r="AA32" s="12">
        <v>16</v>
      </c>
      <c r="AB32" s="12">
        <v>19</v>
      </c>
      <c r="AC32" s="12">
        <v>20</v>
      </c>
      <c r="AD32" s="12">
        <v>20</v>
      </c>
      <c r="AE32" s="12">
        <v>20</v>
      </c>
      <c r="AF32" s="12">
        <v>20</v>
      </c>
      <c r="AG32" s="12">
        <v>21</v>
      </c>
      <c r="AH32" s="14">
        <v>16</v>
      </c>
      <c r="AI32" s="21">
        <f t="shared" si="0"/>
        <v>599</v>
      </c>
      <c r="AJ32" s="275"/>
    </row>
    <row r="33" spans="2:36" ht="15.6" x14ac:dyDescent="0.3">
      <c r="B33" s="273"/>
      <c r="C33" s="25">
        <v>42309</v>
      </c>
      <c r="D33" s="12">
        <v>17</v>
      </c>
      <c r="E33" s="12">
        <v>22</v>
      </c>
      <c r="F33" s="12">
        <v>22</v>
      </c>
      <c r="G33" s="12">
        <v>22</v>
      </c>
      <c r="H33" s="12">
        <v>22</v>
      </c>
      <c r="I33" s="12">
        <v>23</v>
      </c>
      <c r="J33" s="12">
        <v>19</v>
      </c>
      <c r="K33" s="12">
        <v>18</v>
      </c>
      <c r="L33" s="12">
        <v>23</v>
      </c>
      <c r="M33" s="12">
        <v>22</v>
      </c>
      <c r="N33" s="12">
        <v>22</v>
      </c>
      <c r="O33" s="12">
        <v>22</v>
      </c>
      <c r="P33" s="12">
        <v>23</v>
      </c>
      <c r="Q33" s="12">
        <v>19</v>
      </c>
      <c r="R33" s="12">
        <v>19</v>
      </c>
      <c r="S33" s="12">
        <v>22</v>
      </c>
      <c r="T33" s="12">
        <v>22</v>
      </c>
      <c r="U33" s="12">
        <v>22</v>
      </c>
      <c r="V33" s="12">
        <v>22</v>
      </c>
      <c r="W33" s="12">
        <v>23</v>
      </c>
      <c r="X33" s="12">
        <v>19</v>
      </c>
      <c r="Y33" s="12">
        <v>19</v>
      </c>
      <c r="Z33" s="12">
        <v>22</v>
      </c>
      <c r="AA33" s="12">
        <v>22</v>
      </c>
      <c r="AB33" s="12">
        <v>22</v>
      </c>
      <c r="AC33" s="12">
        <v>22</v>
      </c>
      <c r="AD33" s="12">
        <v>23</v>
      </c>
      <c r="AE33" s="12">
        <v>19</v>
      </c>
      <c r="AF33" s="12">
        <v>19</v>
      </c>
      <c r="AG33" s="12">
        <v>22</v>
      </c>
      <c r="AH33" s="13"/>
      <c r="AI33" s="21">
        <f t="shared" si="0"/>
        <v>635</v>
      </c>
      <c r="AJ33" s="275"/>
    </row>
    <row r="34" spans="2:36" ht="15.6" x14ac:dyDescent="0.3">
      <c r="B34" s="273"/>
      <c r="C34" s="25">
        <v>42339</v>
      </c>
      <c r="D34" s="12">
        <v>20</v>
      </c>
      <c r="E34" s="12">
        <v>20</v>
      </c>
      <c r="F34" s="12">
        <v>21</v>
      </c>
      <c r="G34" s="12">
        <v>22</v>
      </c>
      <c r="H34" s="12">
        <v>17</v>
      </c>
      <c r="I34" s="12">
        <v>15</v>
      </c>
      <c r="J34" s="12">
        <v>19</v>
      </c>
      <c r="K34" s="12">
        <v>22</v>
      </c>
      <c r="L34" s="12">
        <v>20</v>
      </c>
      <c r="M34" s="12">
        <v>20</v>
      </c>
      <c r="N34" s="12">
        <v>22</v>
      </c>
      <c r="O34" s="12">
        <v>17</v>
      </c>
      <c r="P34" s="12">
        <v>19</v>
      </c>
      <c r="Q34" s="12">
        <v>20</v>
      </c>
      <c r="R34" s="12">
        <v>20</v>
      </c>
      <c r="S34" s="12">
        <v>20</v>
      </c>
      <c r="T34" s="12">
        <v>20</v>
      </c>
      <c r="U34" s="12">
        <v>20</v>
      </c>
      <c r="V34" s="12">
        <v>17</v>
      </c>
      <c r="W34" s="12">
        <v>18</v>
      </c>
      <c r="X34" s="12">
        <v>20</v>
      </c>
      <c r="Y34" s="12">
        <v>20</v>
      </c>
      <c r="Z34" s="12">
        <v>20</v>
      </c>
      <c r="AA34" s="12">
        <v>16</v>
      </c>
      <c r="AB34" s="12">
        <v>14</v>
      </c>
      <c r="AC34" s="12">
        <v>17</v>
      </c>
      <c r="AD34" s="12">
        <v>18</v>
      </c>
      <c r="AE34" s="12">
        <v>20</v>
      </c>
      <c r="AF34" s="12">
        <v>21</v>
      </c>
      <c r="AG34" s="12">
        <v>20</v>
      </c>
      <c r="AH34" s="14">
        <v>16</v>
      </c>
      <c r="AI34" s="21">
        <f t="shared" si="0"/>
        <v>591</v>
      </c>
      <c r="AJ34" s="275"/>
    </row>
    <row r="35" spans="2:36" ht="15.6" x14ac:dyDescent="0.3">
      <c r="B35" s="273"/>
      <c r="C35" s="25">
        <v>42370</v>
      </c>
      <c r="D35" s="12">
        <v>17</v>
      </c>
      <c r="E35" s="12">
        <v>19</v>
      </c>
      <c r="F35" s="12">
        <v>20</v>
      </c>
      <c r="G35" s="12">
        <v>22</v>
      </c>
      <c r="H35" s="12">
        <v>22</v>
      </c>
      <c r="I35" s="12">
        <v>20</v>
      </c>
      <c r="J35" s="12">
        <v>22</v>
      </c>
      <c r="K35" s="12">
        <v>24</v>
      </c>
      <c r="L35" s="12">
        <v>19</v>
      </c>
      <c r="M35" s="12">
        <v>20</v>
      </c>
      <c r="N35" s="12">
        <v>22</v>
      </c>
      <c r="O35" s="12">
        <v>20</v>
      </c>
      <c r="P35" s="12">
        <v>20</v>
      </c>
      <c r="Q35" s="12">
        <v>20</v>
      </c>
      <c r="R35" s="12">
        <v>22</v>
      </c>
      <c r="S35" s="12">
        <v>17</v>
      </c>
      <c r="T35" s="12">
        <v>18</v>
      </c>
      <c r="U35" s="12">
        <v>20</v>
      </c>
      <c r="V35" s="12">
        <v>20</v>
      </c>
      <c r="W35" s="12">
        <v>20</v>
      </c>
      <c r="X35" s="12">
        <v>20</v>
      </c>
      <c r="Y35" s="12">
        <v>22</v>
      </c>
      <c r="Z35" s="12">
        <v>18</v>
      </c>
      <c r="AA35" s="12">
        <v>20</v>
      </c>
      <c r="AB35" s="12">
        <v>21</v>
      </c>
      <c r="AC35" s="12">
        <v>20</v>
      </c>
      <c r="AD35" s="12">
        <v>20</v>
      </c>
      <c r="AE35" s="12">
        <v>20</v>
      </c>
      <c r="AF35" s="12">
        <v>22</v>
      </c>
      <c r="AG35" s="12">
        <v>17</v>
      </c>
      <c r="AH35" s="14">
        <v>18</v>
      </c>
      <c r="AI35" s="21">
        <f t="shared" si="0"/>
        <v>622</v>
      </c>
      <c r="AJ35" s="275"/>
    </row>
    <row r="36" spans="2:36" ht="15.6" x14ac:dyDescent="0.3">
      <c r="B36" s="273"/>
      <c r="C36" s="25">
        <v>42401</v>
      </c>
      <c r="D36" s="12">
        <v>18</v>
      </c>
      <c r="E36" s="12">
        <v>18</v>
      </c>
      <c r="F36" s="12">
        <v>18</v>
      </c>
      <c r="G36" s="12">
        <v>18</v>
      </c>
      <c r="H36" s="12">
        <v>20</v>
      </c>
      <c r="I36" s="12">
        <v>15</v>
      </c>
      <c r="J36" s="12">
        <v>16</v>
      </c>
      <c r="K36" s="12">
        <v>18</v>
      </c>
      <c r="L36" s="12">
        <v>18</v>
      </c>
      <c r="M36" s="12">
        <v>18</v>
      </c>
      <c r="N36" s="12">
        <v>18</v>
      </c>
      <c r="O36" s="12">
        <v>20</v>
      </c>
      <c r="P36" s="12">
        <v>15</v>
      </c>
      <c r="Q36" s="12">
        <v>16</v>
      </c>
      <c r="R36" s="12">
        <v>18</v>
      </c>
      <c r="S36" s="12">
        <v>18</v>
      </c>
      <c r="T36" s="12">
        <v>18</v>
      </c>
      <c r="U36" s="12">
        <v>18</v>
      </c>
      <c r="V36" s="12">
        <v>20</v>
      </c>
      <c r="W36" s="12">
        <v>15</v>
      </c>
      <c r="X36" s="12">
        <v>16</v>
      </c>
      <c r="Y36" s="12">
        <v>18</v>
      </c>
      <c r="Z36" s="12">
        <v>18</v>
      </c>
      <c r="AA36" s="12">
        <v>18</v>
      </c>
      <c r="AB36" s="12">
        <v>18</v>
      </c>
      <c r="AC36" s="12">
        <v>20</v>
      </c>
      <c r="AD36" s="12">
        <v>15</v>
      </c>
      <c r="AE36" s="12">
        <v>16</v>
      </c>
      <c r="AF36" s="12">
        <v>18</v>
      </c>
      <c r="AG36" s="12"/>
      <c r="AH36" s="13"/>
      <c r="AI36" s="21">
        <f t="shared" si="0"/>
        <v>510</v>
      </c>
      <c r="AJ36" s="275"/>
    </row>
    <row r="37" spans="2:36" ht="15.6" x14ac:dyDescent="0.3">
      <c r="B37" s="273"/>
      <c r="C37" s="25">
        <v>42430</v>
      </c>
      <c r="D37" s="12">
        <v>18</v>
      </c>
      <c r="E37" s="12">
        <v>18</v>
      </c>
      <c r="F37" s="12">
        <v>18</v>
      </c>
      <c r="G37" s="12">
        <v>20</v>
      </c>
      <c r="H37" s="12">
        <v>15</v>
      </c>
      <c r="I37" s="12">
        <v>16</v>
      </c>
      <c r="J37" s="12">
        <v>18</v>
      </c>
      <c r="K37" s="12">
        <v>18</v>
      </c>
      <c r="L37" s="12">
        <v>18</v>
      </c>
      <c r="M37" s="12">
        <v>18</v>
      </c>
      <c r="N37" s="12">
        <v>20</v>
      </c>
      <c r="O37" s="12">
        <v>15</v>
      </c>
      <c r="P37" s="12">
        <v>16</v>
      </c>
      <c r="Q37" s="12">
        <v>18</v>
      </c>
      <c r="R37" s="12">
        <v>18</v>
      </c>
      <c r="S37" s="12">
        <v>18</v>
      </c>
      <c r="T37" s="12">
        <v>18</v>
      </c>
      <c r="U37" s="12">
        <v>20</v>
      </c>
      <c r="V37" s="12">
        <v>15</v>
      </c>
      <c r="W37" s="12">
        <v>16</v>
      </c>
      <c r="X37" s="12">
        <v>18</v>
      </c>
      <c r="Y37" s="12">
        <v>18</v>
      </c>
      <c r="Z37" s="12">
        <v>21</v>
      </c>
      <c r="AA37" s="12">
        <v>18</v>
      </c>
      <c r="AB37" s="12">
        <v>13</v>
      </c>
      <c r="AC37" s="12">
        <v>13</v>
      </c>
      <c r="AD37" s="12">
        <v>17</v>
      </c>
      <c r="AE37" s="12">
        <v>18</v>
      </c>
      <c r="AF37" s="12">
        <v>18</v>
      </c>
      <c r="AG37" s="12">
        <v>18</v>
      </c>
      <c r="AH37" s="14">
        <v>18</v>
      </c>
      <c r="AI37" s="21">
        <f t="shared" si="0"/>
        <v>541</v>
      </c>
      <c r="AJ37" s="275"/>
    </row>
    <row r="38" spans="2:36" ht="15.6" x14ac:dyDescent="0.3">
      <c r="B38" s="273"/>
      <c r="C38" s="25">
        <v>42461</v>
      </c>
      <c r="D38" s="12">
        <v>20</v>
      </c>
      <c r="E38" s="12">
        <v>15</v>
      </c>
      <c r="F38" s="12">
        <v>16</v>
      </c>
      <c r="G38" s="12">
        <v>18</v>
      </c>
      <c r="H38" s="12">
        <v>18</v>
      </c>
      <c r="I38" s="12">
        <v>18</v>
      </c>
      <c r="J38" s="12">
        <v>18</v>
      </c>
      <c r="K38" s="12">
        <v>20</v>
      </c>
      <c r="L38" s="12">
        <v>15</v>
      </c>
      <c r="M38" s="12">
        <v>16</v>
      </c>
      <c r="N38" s="12">
        <v>18</v>
      </c>
      <c r="O38" s="12">
        <v>18</v>
      </c>
      <c r="P38" s="12">
        <v>18</v>
      </c>
      <c r="Q38" s="12">
        <v>18</v>
      </c>
      <c r="R38" s="12">
        <v>20</v>
      </c>
      <c r="S38" s="12">
        <v>15</v>
      </c>
      <c r="T38" s="12">
        <v>16</v>
      </c>
      <c r="U38" s="12">
        <v>18</v>
      </c>
      <c r="V38" s="12">
        <v>18</v>
      </c>
      <c r="W38" s="12">
        <v>18</v>
      </c>
      <c r="X38" s="12">
        <v>18</v>
      </c>
      <c r="Y38" s="12">
        <v>20</v>
      </c>
      <c r="Z38" s="12">
        <v>15</v>
      </c>
      <c r="AA38" s="12">
        <v>16</v>
      </c>
      <c r="AB38" s="12">
        <v>18</v>
      </c>
      <c r="AC38" s="12">
        <v>18</v>
      </c>
      <c r="AD38" s="12">
        <v>18</v>
      </c>
      <c r="AE38" s="12">
        <v>18</v>
      </c>
      <c r="AF38" s="12">
        <v>21</v>
      </c>
      <c r="AG38" s="12">
        <v>15</v>
      </c>
      <c r="AH38" s="13"/>
      <c r="AI38" s="21">
        <f t="shared" si="0"/>
        <v>528</v>
      </c>
      <c r="AJ38" s="275"/>
    </row>
    <row r="39" spans="2:36" ht="16.2" thickBot="1" x14ac:dyDescent="0.35">
      <c r="B39" s="274"/>
      <c r="C39" s="26">
        <v>42491</v>
      </c>
      <c r="D39" s="18">
        <v>16</v>
      </c>
      <c r="E39" s="18">
        <v>18</v>
      </c>
      <c r="F39" s="18">
        <v>18</v>
      </c>
      <c r="G39" s="18">
        <v>18</v>
      </c>
      <c r="H39" s="18">
        <v>18</v>
      </c>
      <c r="I39" s="18">
        <v>20</v>
      </c>
      <c r="J39" s="18">
        <v>15</v>
      </c>
      <c r="K39" s="18">
        <v>16</v>
      </c>
      <c r="L39" s="18">
        <v>18</v>
      </c>
      <c r="M39" s="18">
        <v>18</v>
      </c>
      <c r="N39" s="18">
        <v>18</v>
      </c>
      <c r="O39" s="18">
        <v>18</v>
      </c>
      <c r="P39" s="18">
        <v>20</v>
      </c>
      <c r="Q39" s="18">
        <v>15</v>
      </c>
      <c r="R39" s="18">
        <v>16</v>
      </c>
      <c r="S39" s="18">
        <v>17</v>
      </c>
      <c r="T39" s="18">
        <v>18</v>
      </c>
      <c r="U39" s="18">
        <v>18</v>
      </c>
      <c r="V39" s="18">
        <v>18</v>
      </c>
      <c r="W39" s="18">
        <v>20</v>
      </c>
      <c r="X39" s="18">
        <v>15</v>
      </c>
      <c r="Y39" s="18">
        <v>16</v>
      </c>
      <c r="Z39" s="18">
        <v>18</v>
      </c>
      <c r="AA39" s="18">
        <v>18</v>
      </c>
      <c r="AB39" s="18">
        <v>18</v>
      </c>
      <c r="AC39" s="18">
        <v>18</v>
      </c>
      <c r="AD39" s="18">
        <v>20</v>
      </c>
      <c r="AE39" s="18">
        <v>15</v>
      </c>
      <c r="AF39" s="18">
        <v>16</v>
      </c>
      <c r="AG39" s="18">
        <v>18</v>
      </c>
      <c r="AH39" s="19">
        <v>18</v>
      </c>
      <c r="AI39" s="22">
        <f t="shared" si="0"/>
        <v>543</v>
      </c>
      <c r="AJ39" s="275"/>
    </row>
    <row r="40" spans="2:36" ht="15.6" x14ac:dyDescent="0.3">
      <c r="B40" s="272">
        <v>4</v>
      </c>
      <c r="C40" s="24">
        <v>42522</v>
      </c>
      <c r="D40" s="15">
        <v>20</v>
      </c>
      <c r="E40" s="15">
        <v>20</v>
      </c>
      <c r="F40" s="15">
        <v>22</v>
      </c>
      <c r="G40" s="15">
        <v>15</v>
      </c>
      <c r="H40" s="15">
        <v>17</v>
      </c>
      <c r="I40" s="15">
        <v>20</v>
      </c>
      <c r="J40" s="15">
        <v>20</v>
      </c>
      <c r="K40" s="15">
        <v>20</v>
      </c>
      <c r="L40" s="15">
        <v>20</v>
      </c>
      <c r="M40" s="15">
        <v>18</v>
      </c>
      <c r="N40" s="15">
        <v>17</v>
      </c>
      <c r="O40" s="16">
        <v>14</v>
      </c>
      <c r="P40" s="16">
        <v>22</v>
      </c>
      <c r="Q40" s="16">
        <v>18</v>
      </c>
      <c r="R40" s="16">
        <v>22</v>
      </c>
      <c r="S40" s="16">
        <v>18</v>
      </c>
      <c r="T40" s="16">
        <v>22</v>
      </c>
      <c r="U40" s="16">
        <v>17</v>
      </c>
      <c r="V40" s="16">
        <v>18</v>
      </c>
      <c r="W40" s="16">
        <v>22</v>
      </c>
      <c r="X40" s="16">
        <v>22</v>
      </c>
      <c r="Y40" s="16">
        <v>22</v>
      </c>
      <c r="Z40" s="16">
        <v>22</v>
      </c>
      <c r="AA40" s="16">
        <v>20</v>
      </c>
      <c r="AB40" s="16">
        <v>17</v>
      </c>
      <c r="AC40" s="16">
        <v>18</v>
      </c>
      <c r="AD40" s="16">
        <v>22</v>
      </c>
      <c r="AE40" s="16">
        <v>22</v>
      </c>
      <c r="AF40" s="16">
        <v>22</v>
      </c>
      <c r="AG40" s="16">
        <v>22</v>
      </c>
      <c r="AH40" s="17"/>
      <c r="AI40" s="20">
        <f t="shared" si="0"/>
        <v>591</v>
      </c>
      <c r="AJ40" s="275">
        <f t="shared" ref="AJ40" si="3">SUM(AI40:AI51)</f>
        <v>6810</v>
      </c>
    </row>
    <row r="41" spans="2:36" ht="15.6" x14ac:dyDescent="0.3">
      <c r="B41" s="273"/>
      <c r="C41" s="25">
        <v>42552</v>
      </c>
      <c r="D41" s="12">
        <v>22</v>
      </c>
      <c r="E41" s="12">
        <v>17</v>
      </c>
      <c r="F41" s="12">
        <v>18</v>
      </c>
      <c r="G41" s="12">
        <v>22</v>
      </c>
      <c r="H41" s="12">
        <v>22</v>
      </c>
      <c r="I41" s="12">
        <v>22</v>
      </c>
      <c r="J41" s="12">
        <v>22</v>
      </c>
      <c r="K41" s="12">
        <v>22</v>
      </c>
      <c r="L41" s="12">
        <v>17</v>
      </c>
      <c r="M41" s="12">
        <v>18</v>
      </c>
      <c r="N41" s="12">
        <v>22</v>
      </c>
      <c r="O41" s="12">
        <v>22</v>
      </c>
      <c r="P41" s="12">
        <v>22</v>
      </c>
      <c r="Q41" s="12">
        <v>22</v>
      </c>
      <c r="R41" s="12">
        <v>22</v>
      </c>
      <c r="S41" s="12">
        <v>17</v>
      </c>
      <c r="T41" s="12">
        <v>18</v>
      </c>
      <c r="U41" s="12">
        <v>22</v>
      </c>
      <c r="V41" s="12">
        <v>22</v>
      </c>
      <c r="W41" s="12">
        <v>22</v>
      </c>
      <c r="X41" s="12">
        <v>22</v>
      </c>
      <c r="Y41" s="12">
        <v>23</v>
      </c>
      <c r="Z41" s="12">
        <v>17</v>
      </c>
      <c r="AA41" s="12">
        <v>17</v>
      </c>
      <c r="AB41" s="12">
        <v>17</v>
      </c>
      <c r="AC41" s="12">
        <v>22</v>
      </c>
      <c r="AD41" s="12">
        <v>22</v>
      </c>
      <c r="AE41" s="12">
        <v>22</v>
      </c>
      <c r="AF41" s="12">
        <v>22</v>
      </c>
      <c r="AG41" s="12">
        <v>17</v>
      </c>
      <c r="AH41" s="14">
        <v>19</v>
      </c>
      <c r="AI41" s="21">
        <f t="shared" si="0"/>
        <v>633</v>
      </c>
      <c r="AJ41" s="275"/>
    </row>
    <row r="42" spans="2:36" ht="15.6" x14ac:dyDescent="0.3">
      <c r="B42" s="273"/>
      <c r="C42" s="25">
        <v>42583</v>
      </c>
      <c r="D42" s="12">
        <v>22</v>
      </c>
      <c r="E42" s="12">
        <v>22</v>
      </c>
      <c r="F42" s="12">
        <v>22</v>
      </c>
      <c r="G42" s="12">
        <v>22</v>
      </c>
      <c r="H42" s="12">
        <v>22</v>
      </c>
      <c r="I42" s="12">
        <v>17</v>
      </c>
      <c r="J42" s="12">
        <v>18</v>
      </c>
      <c r="K42" s="12">
        <v>22</v>
      </c>
      <c r="L42" s="12">
        <v>22</v>
      </c>
      <c r="M42" s="12">
        <v>22</v>
      </c>
      <c r="N42" s="12">
        <v>22</v>
      </c>
      <c r="O42" s="12">
        <v>22</v>
      </c>
      <c r="P42" s="12">
        <v>17</v>
      </c>
      <c r="Q42" s="12">
        <v>16</v>
      </c>
      <c r="R42" s="12">
        <v>21</v>
      </c>
      <c r="S42" s="12">
        <v>21</v>
      </c>
      <c r="T42" s="12">
        <v>22</v>
      </c>
      <c r="U42" s="12">
        <v>22</v>
      </c>
      <c r="V42" s="12">
        <v>22</v>
      </c>
      <c r="W42" s="12">
        <v>16</v>
      </c>
      <c r="X42" s="12">
        <v>18</v>
      </c>
      <c r="Y42" s="12">
        <v>22</v>
      </c>
      <c r="Z42" s="12">
        <v>22</v>
      </c>
      <c r="AA42" s="12">
        <v>22</v>
      </c>
      <c r="AB42" s="12">
        <v>22</v>
      </c>
      <c r="AC42" s="12">
        <v>22</v>
      </c>
      <c r="AD42" s="12">
        <v>17</v>
      </c>
      <c r="AE42" s="12">
        <v>18</v>
      </c>
      <c r="AF42" s="12">
        <v>22</v>
      </c>
      <c r="AG42" s="12">
        <v>22</v>
      </c>
      <c r="AH42" s="14">
        <v>22</v>
      </c>
      <c r="AI42" s="21">
        <f t="shared" si="0"/>
        <v>641</v>
      </c>
      <c r="AJ42" s="275"/>
    </row>
    <row r="43" spans="2:36" ht="15.6" x14ac:dyDescent="0.3">
      <c r="B43" s="273"/>
      <c r="C43" s="25">
        <v>42614</v>
      </c>
      <c r="D43" s="12">
        <v>22</v>
      </c>
      <c r="E43" s="12">
        <v>22</v>
      </c>
      <c r="F43" s="12">
        <v>12</v>
      </c>
      <c r="G43" s="12">
        <v>18</v>
      </c>
      <c r="H43" s="12">
        <v>22</v>
      </c>
      <c r="I43" s="12">
        <v>22</v>
      </c>
      <c r="J43" s="12">
        <v>22</v>
      </c>
      <c r="K43" s="12">
        <v>22</v>
      </c>
      <c r="L43" s="12">
        <v>22</v>
      </c>
      <c r="M43" s="12">
        <v>17</v>
      </c>
      <c r="N43" s="12">
        <v>18</v>
      </c>
      <c r="O43" s="12">
        <v>22</v>
      </c>
      <c r="P43" s="12">
        <v>22</v>
      </c>
      <c r="Q43" s="12">
        <v>22</v>
      </c>
      <c r="R43" s="12">
        <v>22</v>
      </c>
      <c r="S43" s="12">
        <v>22</v>
      </c>
      <c r="T43" s="12">
        <v>17</v>
      </c>
      <c r="U43" s="12">
        <v>18</v>
      </c>
      <c r="V43" s="12">
        <v>22</v>
      </c>
      <c r="W43" s="12">
        <v>22</v>
      </c>
      <c r="X43" s="12">
        <v>22</v>
      </c>
      <c r="Y43" s="12">
        <v>22</v>
      </c>
      <c r="Z43" s="12">
        <v>22</v>
      </c>
      <c r="AA43" s="12">
        <v>17</v>
      </c>
      <c r="AB43" s="12">
        <v>18</v>
      </c>
      <c r="AC43" s="12">
        <v>20</v>
      </c>
      <c r="AD43" s="12">
        <v>20</v>
      </c>
      <c r="AE43" s="12">
        <v>20</v>
      </c>
      <c r="AF43" s="12">
        <v>20</v>
      </c>
      <c r="AG43" s="12">
        <v>22</v>
      </c>
      <c r="AH43" s="13"/>
      <c r="AI43" s="21">
        <f t="shared" si="0"/>
        <v>611</v>
      </c>
      <c r="AJ43" s="275"/>
    </row>
    <row r="44" spans="2:36" ht="15.6" x14ac:dyDescent="0.3">
      <c r="B44" s="273"/>
      <c r="C44" s="25">
        <v>42644</v>
      </c>
      <c r="D44" s="12">
        <v>15</v>
      </c>
      <c r="E44" s="12">
        <v>16</v>
      </c>
      <c r="F44" s="12">
        <v>18</v>
      </c>
      <c r="G44" s="12">
        <v>18</v>
      </c>
      <c r="H44" s="12">
        <v>18</v>
      </c>
      <c r="I44" s="12">
        <v>18</v>
      </c>
      <c r="J44" s="12">
        <v>20</v>
      </c>
      <c r="K44" s="12">
        <v>15</v>
      </c>
      <c r="L44" s="12">
        <v>16</v>
      </c>
      <c r="M44" s="12">
        <v>18</v>
      </c>
      <c r="N44" s="12">
        <v>18</v>
      </c>
      <c r="O44" s="12">
        <v>18</v>
      </c>
      <c r="P44" s="12">
        <v>18</v>
      </c>
      <c r="Q44" s="12">
        <v>20</v>
      </c>
      <c r="R44" s="12">
        <v>15</v>
      </c>
      <c r="S44" s="12">
        <v>16</v>
      </c>
      <c r="T44" s="12">
        <v>18</v>
      </c>
      <c r="U44" s="12">
        <v>18</v>
      </c>
      <c r="V44" s="12">
        <v>18</v>
      </c>
      <c r="W44" s="12">
        <v>18</v>
      </c>
      <c r="X44" s="12">
        <v>20</v>
      </c>
      <c r="Y44" s="12">
        <v>15</v>
      </c>
      <c r="Z44" s="12">
        <v>16</v>
      </c>
      <c r="AA44" s="12">
        <v>18</v>
      </c>
      <c r="AB44" s="12">
        <v>18</v>
      </c>
      <c r="AC44" s="12">
        <v>18</v>
      </c>
      <c r="AD44" s="12">
        <v>18</v>
      </c>
      <c r="AE44" s="12">
        <v>20</v>
      </c>
      <c r="AF44" s="12">
        <v>15</v>
      </c>
      <c r="AG44" s="12">
        <v>16</v>
      </c>
      <c r="AH44" s="14">
        <v>18</v>
      </c>
      <c r="AI44" s="21">
        <f t="shared" si="0"/>
        <v>541</v>
      </c>
      <c r="AJ44" s="275"/>
    </row>
    <row r="45" spans="2:36" ht="15.6" x14ac:dyDescent="0.3">
      <c r="B45" s="273"/>
      <c r="C45" s="25">
        <v>42675</v>
      </c>
      <c r="D45" s="12">
        <v>19</v>
      </c>
      <c r="E45" s="12">
        <v>18</v>
      </c>
      <c r="F45" s="12">
        <v>18</v>
      </c>
      <c r="G45" s="12">
        <v>20</v>
      </c>
      <c r="H45" s="12">
        <v>15</v>
      </c>
      <c r="I45" s="12">
        <v>16</v>
      </c>
      <c r="J45" s="12">
        <v>18</v>
      </c>
      <c r="K45" s="12">
        <v>18</v>
      </c>
      <c r="L45" s="12">
        <v>18</v>
      </c>
      <c r="M45" s="12">
        <v>18</v>
      </c>
      <c r="N45" s="12">
        <v>20</v>
      </c>
      <c r="O45" s="12">
        <v>15</v>
      </c>
      <c r="P45" s="12">
        <v>16</v>
      </c>
      <c r="Q45" s="12">
        <v>18</v>
      </c>
      <c r="R45" s="12">
        <v>18</v>
      </c>
      <c r="S45" s="12">
        <v>18</v>
      </c>
      <c r="T45" s="12">
        <v>18</v>
      </c>
      <c r="U45" s="12">
        <v>20</v>
      </c>
      <c r="V45" s="12">
        <v>15</v>
      </c>
      <c r="W45" s="12">
        <v>16</v>
      </c>
      <c r="X45" s="12">
        <v>18</v>
      </c>
      <c r="Y45" s="12">
        <v>18</v>
      </c>
      <c r="Z45" s="12">
        <v>18</v>
      </c>
      <c r="AA45" s="12">
        <v>18</v>
      </c>
      <c r="AB45" s="12">
        <v>20</v>
      </c>
      <c r="AC45" s="12">
        <v>15</v>
      </c>
      <c r="AD45" s="12">
        <v>17</v>
      </c>
      <c r="AE45" s="12">
        <v>18</v>
      </c>
      <c r="AF45" s="12">
        <v>18</v>
      </c>
      <c r="AG45" s="12">
        <v>18</v>
      </c>
      <c r="AH45" s="13"/>
      <c r="AI45" s="21">
        <f t="shared" si="0"/>
        <v>530</v>
      </c>
      <c r="AJ45" s="275"/>
    </row>
    <row r="46" spans="2:36" ht="15.6" x14ac:dyDescent="0.3">
      <c r="B46" s="273"/>
      <c r="C46" s="25">
        <v>42705</v>
      </c>
      <c r="D46" s="12">
        <v>18</v>
      </c>
      <c r="E46" s="12">
        <v>20</v>
      </c>
      <c r="F46" s="12">
        <v>15</v>
      </c>
      <c r="G46" s="12">
        <v>16</v>
      </c>
      <c r="H46" s="12">
        <v>18</v>
      </c>
      <c r="I46" s="12">
        <v>18</v>
      </c>
      <c r="J46" s="12">
        <v>18</v>
      </c>
      <c r="K46" s="12">
        <v>18</v>
      </c>
      <c r="L46" s="12">
        <v>20</v>
      </c>
      <c r="M46" s="12">
        <v>15</v>
      </c>
      <c r="N46" s="12">
        <v>16</v>
      </c>
      <c r="O46" s="12">
        <v>18</v>
      </c>
      <c r="P46" s="12">
        <v>18</v>
      </c>
      <c r="Q46" s="12">
        <v>18</v>
      </c>
      <c r="R46" s="12">
        <v>18</v>
      </c>
      <c r="S46" s="12">
        <v>20</v>
      </c>
      <c r="T46" s="12">
        <v>15</v>
      </c>
      <c r="U46" s="12">
        <v>16</v>
      </c>
      <c r="V46" s="12">
        <v>18</v>
      </c>
      <c r="W46" s="12">
        <v>18</v>
      </c>
      <c r="X46" s="12">
        <v>18</v>
      </c>
      <c r="Y46" s="12">
        <v>18</v>
      </c>
      <c r="Z46" s="12">
        <v>20</v>
      </c>
      <c r="AA46" s="12">
        <v>13</v>
      </c>
      <c r="AB46" s="12">
        <v>12</v>
      </c>
      <c r="AC46" s="12">
        <v>18</v>
      </c>
      <c r="AD46" s="12">
        <v>18</v>
      </c>
      <c r="AE46" s="12">
        <v>18</v>
      </c>
      <c r="AF46" s="12">
        <v>18</v>
      </c>
      <c r="AG46" s="12">
        <v>20</v>
      </c>
      <c r="AH46" s="14">
        <v>13</v>
      </c>
      <c r="AI46" s="21">
        <f t="shared" si="0"/>
        <v>537</v>
      </c>
      <c r="AJ46" s="275"/>
    </row>
    <row r="47" spans="2:36" ht="15.6" x14ac:dyDescent="0.3">
      <c r="B47" s="273"/>
      <c r="C47" s="25">
        <v>42736</v>
      </c>
      <c r="D47" s="12">
        <v>16</v>
      </c>
      <c r="E47" s="12">
        <v>18</v>
      </c>
      <c r="F47" s="12">
        <v>18</v>
      </c>
      <c r="G47" s="12">
        <v>18</v>
      </c>
      <c r="H47" s="12">
        <v>20</v>
      </c>
      <c r="I47" s="12">
        <v>14</v>
      </c>
      <c r="J47" s="12">
        <v>15</v>
      </c>
      <c r="K47" s="12">
        <v>16</v>
      </c>
      <c r="L47" s="12">
        <v>18</v>
      </c>
      <c r="M47" s="12">
        <v>18</v>
      </c>
      <c r="N47" s="12">
        <v>18</v>
      </c>
      <c r="O47" s="12">
        <v>18</v>
      </c>
      <c r="P47" s="12">
        <v>20</v>
      </c>
      <c r="Q47" s="12">
        <v>15</v>
      </c>
      <c r="R47" s="12">
        <v>16</v>
      </c>
      <c r="S47" s="12">
        <v>18</v>
      </c>
      <c r="T47" s="12">
        <v>18</v>
      </c>
      <c r="U47" s="12">
        <v>18</v>
      </c>
      <c r="V47" s="12">
        <v>15</v>
      </c>
      <c r="W47" s="12">
        <v>14</v>
      </c>
      <c r="X47" s="12">
        <v>15</v>
      </c>
      <c r="Y47" s="12">
        <v>16</v>
      </c>
      <c r="Z47" s="12">
        <v>18</v>
      </c>
      <c r="AA47" s="12">
        <v>18</v>
      </c>
      <c r="AB47" s="12">
        <v>18</v>
      </c>
      <c r="AC47" s="12">
        <v>18</v>
      </c>
      <c r="AD47" s="12">
        <v>20</v>
      </c>
      <c r="AE47" s="12">
        <v>15</v>
      </c>
      <c r="AF47" s="12">
        <v>16</v>
      </c>
      <c r="AG47" s="12">
        <v>18</v>
      </c>
      <c r="AH47" s="14">
        <v>18</v>
      </c>
      <c r="AI47" s="21">
        <f t="shared" si="0"/>
        <v>531</v>
      </c>
      <c r="AJ47" s="275"/>
    </row>
    <row r="48" spans="2:36" ht="15.6" x14ac:dyDescent="0.3">
      <c r="B48" s="273"/>
      <c r="C48" s="25">
        <v>42767</v>
      </c>
      <c r="D48" s="12">
        <v>18</v>
      </c>
      <c r="E48" s="12">
        <v>18</v>
      </c>
      <c r="F48" s="12">
        <v>20</v>
      </c>
      <c r="G48" s="12">
        <v>15</v>
      </c>
      <c r="H48" s="12">
        <v>16</v>
      </c>
      <c r="I48" s="12">
        <v>18</v>
      </c>
      <c r="J48" s="12">
        <v>18</v>
      </c>
      <c r="K48" s="12">
        <v>17</v>
      </c>
      <c r="L48" s="12">
        <v>18</v>
      </c>
      <c r="M48" s="12">
        <v>20</v>
      </c>
      <c r="N48" s="12">
        <v>15</v>
      </c>
      <c r="O48" s="12">
        <v>15</v>
      </c>
      <c r="P48" s="12">
        <v>18</v>
      </c>
      <c r="Q48" s="12">
        <v>18</v>
      </c>
      <c r="R48" s="12">
        <v>16</v>
      </c>
      <c r="S48" s="12">
        <v>18</v>
      </c>
      <c r="T48" s="12">
        <v>20</v>
      </c>
      <c r="U48" s="12">
        <v>15</v>
      </c>
      <c r="V48" s="12">
        <v>16</v>
      </c>
      <c r="W48" s="12">
        <v>18</v>
      </c>
      <c r="X48" s="12">
        <v>18</v>
      </c>
      <c r="Y48" s="12">
        <v>18</v>
      </c>
      <c r="Z48" s="12">
        <v>18</v>
      </c>
      <c r="AA48" s="12">
        <v>20</v>
      </c>
      <c r="AB48" s="12">
        <v>15</v>
      </c>
      <c r="AC48" s="12">
        <v>16</v>
      </c>
      <c r="AD48" s="12">
        <v>18</v>
      </c>
      <c r="AE48" s="12">
        <v>16</v>
      </c>
      <c r="AF48" s="12"/>
      <c r="AG48" s="12"/>
      <c r="AH48" s="13"/>
      <c r="AI48" s="21">
        <f t="shared" si="0"/>
        <v>486</v>
      </c>
      <c r="AJ48" s="275"/>
    </row>
    <row r="49" spans="2:36" ht="15.6" x14ac:dyDescent="0.3">
      <c r="B49" s="273"/>
      <c r="C49" s="25">
        <v>42795</v>
      </c>
      <c r="D49" s="12">
        <v>18</v>
      </c>
      <c r="E49" s="12">
        <v>18</v>
      </c>
      <c r="F49" s="12">
        <v>20</v>
      </c>
      <c r="G49" s="12">
        <v>15</v>
      </c>
      <c r="H49" s="12">
        <v>16</v>
      </c>
      <c r="I49" s="12">
        <v>18</v>
      </c>
      <c r="J49" s="12">
        <v>18</v>
      </c>
      <c r="K49" s="12">
        <v>18</v>
      </c>
      <c r="L49" s="12">
        <v>18</v>
      </c>
      <c r="M49" s="12">
        <v>20</v>
      </c>
      <c r="N49" s="12">
        <v>15</v>
      </c>
      <c r="O49" s="12">
        <v>16</v>
      </c>
      <c r="P49" s="12">
        <v>18</v>
      </c>
      <c r="Q49" s="12">
        <v>18</v>
      </c>
      <c r="R49" s="12">
        <v>18</v>
      </c>
      <c r="S49" s="12">
        <v>18</v>
      </c>
      <c r="T49" s="12">
        <v>20</v>
      </c>
      <c r="U49" s="12">
        <v>15</v>
      </c>
      <c r="V49" s="12">
        <v>12</v>
      </c>
      <c r="W49" s="12">
        <v>18</v>
      </c>
      <c r="X49" s="12">
        <v>18</v>
      </c>
      <c r="Y49" s="12">
        <v>18</v>
      </c>
      <c r="Z49" s="12">
        <v>18</v>
      </c>
      <c r="AA49" s="12">
        <v>20</v>
      </c>
      <c r="AB49" s="12">
        <v>15</v>
      </c>
      <c r="AC49" s="12">
        <v>16</v>
      </c>
      <c r="AD49" s="12">
        <v>18</v>
      </c>
      <c r="AE49" s="12">
        <v>18</v>
      </c>
      <c r="AF49" s="12">
        <v>18</v>
      </c>
      <c r="AG49" s="12">
        <v>18</v>
      </c>
      <c r="AH49" s="14">
        <v>20</v>
      </c>
      <c r="AI49" s="21">
        <f t="shared" si="0"/>
        <v>544</v>
      </c>
      <c r="AJ49" s="275"/>
    </row>
    <row r="50" spans="2:36" ht="15.6" x14ac:dyDescent="0.3">
      <c r="B50" s="273"/>
      <c r="C50" s="25">
        <v>42826</v>
      </c>
      <c r="D50" s="12">
        <v>15</v>
      </c>
      <c r="E50" s="12">
        <v>16</v>
      </c>
      <c r="F50" s="12">
        <v>20</v>
      </c>
      <c r="G50" s="12">
        <v>20</v>
      </c>
      <c r="H50" s="12">
        <v>20</v>
      </c>
      <c r="I50" s="12">
        <v>20</v>
      </c>
      <c r="J50" s="12">
        <v>22</v>
      </c>
      <c r="K50" s="12">
        <v>17</v>
      </c>
      <c r="L50" s="12">
        <v>18</v>
      </c>
      <c r="M50" s="12">
        <v>20</v>
      </c>
      <c r="N50" s="12">
        <v>20</v>
      </c>
      <c r="O50" s="12">
        <v>22</v>
      </c>
      <c r="P50" s="12">
        <v>18</v>
      </c>
      <c r="Q50" s="12">
        <v>14</v>
      </c>
      <c r="R50" s="12">
        <v>15</v>
      </c>
      <c r="S50" s="12">
        <v>18</v>
      </c>
      <c r="T50" s="12">
        <v>20</v>
      </c>
      <c r="U50" s="12">
        <v>20</v>
      </c>
      <c r="V50" s="12">
        <v>20</v>
      </c>
      <c r="W50" s="12">
        <v>20</v>
      </c>
      <c r="X50" s="12">
        <v>22</v>
      </c>
      <c r="Y50" s="12">
        <v>17</v>
      </c>
      <c r="Z50" s="12">
        <v>18</v>
      </c>
      <c r="AA50" s="12">
        <v>20</v>
      </c>
      <c r="AB50" s="12">
        <v>20</v>
      </c>
      <c r="AC50" s="12">
        <v>20</v>
      </c>
      <c r="AD50" s="12">
        <v>20</v>
      </c>
      <c r="AE50" s="12">
        <v>22</v>
      </c>
      <c r="AF50" s="12">
        <v>17</v>
      </c>
      <c r="AG50" s="12">
        <v>14</v>
      </c>
      <c r="AH50" s="13"/>
      <c r="AI50" s="21">
        <f t="shared" si="0"/>
        <v>565</v>
      </c>
      <c r="AJ50" s="275"/>
    </row>
    <row r="51" spans="2:36" ht="16.2" thickBot="1" x14ac:dyDescent="0.35">
      <c r="B51" s="274"/>
      <c r="C51" s="26">
        <v>42856</v>
      </c>
      <c r="D51" s="18">
        <v>16</v>
      </c>
      <c r="E51" s="18">
        <v>18</v>
      </c>
      <c r="F51" s="18">
        <v>20</v>
      </c>
      <c r="G51" s="18">
        <v>20</v>
      </c>
      <c r="H51" s="18">
        <v>22</v>
      </c>
      <c r="I51" s="18">
        <v>17</v>
      </c>
      <c r="J51" s="18">
        <v>18</v>
      </c>
      <c r="K51" s="18">
        <v>20</v>
      </c>
      <c r="L51" s="18">
        <v>20</v>
      </c>
      <c r="M51" s="18">
        <v>20</v>
      </c>
      <c r="N51" s="18">
        <v>20</v>
      </c>
      <c r="O51" s="18">
        <v>22</v>
      </c>
      <c r="P51" s="18">
        <v>17</v>
      </c>
      <c r="Q51" s="18">
        <v>17</v>
      </c>
      <c r="R51" s="18">
        <v>19</v>
      </c>
      <c r="S51" s="18">
        <v>20</v>
      </c>
      <c r="T51" s="18">
        <v>20</v>
      </c>
      <c r="U51" s="18">
        <v>20</v>
      </c>
      <c r="V51" s="18">
        <v>22</v>
      </c>
      <c r="W51" s="18">
        <v>17</v>
      </c>
      <c r="X51" s="18">
        <v>18</v>
      </c>
      <c r="Y51" s="18">
        <v>20</v>
      </c>
      <c r="Z51" s="18">
        <v>20</v>
      </c>
      <c r="AA51" s="18">
        <v>20</v>
      </c>
      <c r="AB51" s="18">
        <v>20</v>
      </c>
      <c r="AC51" s="18">
        <v>22</v>
      </c>
      <c r="AD51" s="18">
        <v>17</v>
      </c>
      <c r="AE51" s="18">
        <v>18</v>
      </c>
      <c r="AF51" s="18">
        <v>20</v>
      </c>
      <c r="AG51" s="18">
        <v>20</v>
      </c>
      <c r="AH51" s="19">
        <v>20</v>
      </c>
      <c r="AI51" s="22">
        <f t="shared" si="0"/>
        <v>600</v>
      </c>
      <c r="AJ51" s="275"/>
    </row>
    <row r="52" spans="2:36" ht="15.6" x14ac:dyDescent="0.3">
      <c r="B52" s="272">
        <v>5</v>
      </c>
      <c r="C52" s="24">
        <v>42887</v>
      </c>
      <c r="D52" s="15">
        <v>20</v>
      </c>
      <c r="E52" s="15">
        <v>22</v>
      </c>
      <c r="F52" s="15">
        <v>17</v>
      </c>
      <c r="G52" s="15">
        <v>18</v>
      </c>
      <c r="H52" s="15">
        <v>20</v>
      </c>
      <c r="I52" s="15">
        <v>20</v>
      </c>
      <c r="J52" s="15">
        <v>20</v>
      </c>
      <c r="K52" s="15">
        <v>20</v>
      </c>
      <c r="L52" s="15">
        <v>22</v>
      </c>
      <c r="M52" s="15">
        <v>17</v>
      </c>
      <c r="N52" s="15">
        <v>18</v>
      </c>
      <c r="O52" s="16">
        <v>20</v>
      </c>
      <c r="P52" s="16">
        <v>20</v>
      </c>
      <c r="Q52" s="16">
        <v>20</v>
      </c>
      <c r="R52" s="16">
        <v>20</v>
      </c>
      <c r="S52" s="16">
        <v>22</v>
      </c>
      <c r="T52" s="16">
        <v>17</v>
      </c>
      <c r="U52" s="16">
        <v>18</v>
      </c>
      <c r="V52" s="16">
        <v>22</v>
      </c>
      <c r="W52" s="16">
        <v>22</v>
      </c>
      <c r="X52" s="16">
        <v>22</v>
      </c>
      <c r="Y52" s="16">
        <v>22</v>
      </c>
      <c r="Z52" s="16">
        <v>22</v>
      </c>
      <c r="AA52" s="16">
        <v>17</v>
      </c>
      <c r="AB52" s="16">
        <v>19</v>
      </c>
      <c r="AC52" s="16">
        <v>22</v>
      </c>
      <c r="AD52" s="16">
        <v>22</v>
      </c>
      <c r="AE52" s="16">
        <v>22</v>
      </c>
      <c r="AF52" s="16">
        <v>22</v>
      </c>
      <c r="AG52" s="16">
        <v>22</v>
      </c>
      <c r="AH52" s="17"/>
      <c r="AI52" s="20">
        <f t="shared" si="0"/>
        <v>607</v>
      </c>
      <c r="AJ52" s="275">
        <f t="shared" ref="AJ52" si="4">SUM(AI52:AI63)</f>
        <v>7026</v>
      </c>
    </row>
    <row r="53" spans="2:36" ht="15.6" x14ac:dyDescent="0.3">
      <c r="B53" s="273"/>
      <c r="C53" s="25">
        <v>42917</v>
      </c>
      <c r="D53" s="12">
        <v>17</v>
      </c>
      <c r="E53" s="12">
        <v>18</v>
      </c>
      <c r="F53" s="12">
        <v>22</v>
      </c>
      <c r="G53" s="12">
        <v>22</v>
      </c>
      <c r="H53" s="12">
        <v>22</v>
      </c>
      <c r="I53" s="12">
        <v>22</v>
      </c>
      <c r="J53" s="12">
        <v>22</v>
      </c>
      <c r="K53" s="12">
        <v>17</v>
      </c>
      <c r="L53" s="12">
        <v>18</v>
      </c>
      <c r="M53" s="12">
        <v>22</v>
      </c>
      <c r="N53" s="12">
        <v>22</v>
      </c>
      <c r="O53" s="12">
        <v>22</v>
      </c>
      <c r="P53" s="12">
        <v>22</v>
      </c>
      <c r="Q53" s="12">
        <v>22</v>
      </c>
      <c r="R53" s="12">
        <v>17</v>
      </c>
      <c r="S53" s="12">
        <v>18</v>
      </c>
      <c r="T53" s="12">
        <v>22</v>
      </c>
      <c r="U53" s="12">
        <v>22</v>
      </c>
      <c r="V53" s="12">
        <v>22</v>
      </c>
      <c r="W53" s="12">
        <v>22</v>
      </c>
      <c r="X53" s="12">
        <v>22</v>
      </c>
      <c r="Y53" s="12">
        <v>17</v>
      </c>
      <c r="Z53" s="12">
        <v>18</v>
      </c>
      <c r="AA53" s="12">
        <v>22</v>
      </c>
      <c r="AB53" s="12">
        <v>22</v>
      </c>
      <c r="AC53" s="12">
        <v>22</v>
      </c>
      <c r="AD53" s="12">
        <v>22</v>
      </c>
      <c r="AE53" s="12">
        <v>21</v>
      </c>
      <c r="AF53" s="12">
        <v>17</v>
      </c>
      <c r="AG53" s="12">
        <v>18</v>
      </c>
      <c r="AH53" s="14">
        <v>23</v>
      </c>
      <c r="AI53" s="21">
        <f t="shared" si="0"/>
        <v>637</v>
      </c>
      <c r="AJ53" s="275"/>
    </row>
    <row r="54" spans="2:36" ht="15.6" x14ac:dyDescent="0.3">
      <c r="B54" s="273"/>
      <c r="C54" s="25">
        <v>42948</v>
      </c>
      <c r="D54" s="12">
        <v>22</v>
      </c>
      <c r="E54" s="12">
        <v>22</v>
      </c>
      <c r="F54" s="12">
        <v>22</v>
      </c>
      <c r="G54" s="12">
        <v>22</v>
      </c>
      <c r="H54" s="12">
        <v>17</v>
      </c>
      <c r="I54" s="12">
        <v>18</v>
      </c>
      <c r="J54" s="12">
        <v>22</v>
      </c>
      <c r="K54" s="12">
        <v>22</v>
      </c>
      <c r="L54" s="12">
        <v>22</v>
      </c>
      <c r="M54" s="12">
        <v>22</v>
      </c>
      <c r="N54" s="12">
        <v>22</v>
      </c>
      <c r="O54" s="12">
        <v>17</v>
      </c>
      <c r="P54" s="12">
        <v>18</v>
      </c>
      <c r="Q54" s="12">
        <v>20</v>
      </c>
      <c r="R54" s="12">
        <v>20</v>
      </c>
      <c r="S54" s="12">
        <v>21</v>
      </c>
      <c r="T54" s="12">
        <v>22</v>
      </c>
      <c r="U54" s="12">
        <v>22</v>
      </c>
      <c r="V54" s="12">
        <v>17</v>
      </c>
      <c r="W54" s="12">
        <v>18</v>
      </c>
      <c r="X54" s="12">
        <v>22</v>
      </c>
      <c r="Y54" s="12">
        <v>22</v>
      </c>
      <c r="Z54" s="12">
        <v>22</v>
      </c>
      <c r="AA54" s="12">
        <v>22</v>
      </c>
      <c r="AB54" s="12">
        <v>22</v>
      </c>
      <c r="AC54" s="12">
        <v>17</v>
      </c>
      <c r="AD54" s="12">
        <v>18</v>
      </c>
      <c r="AE54" s="12">
        <v>22</v>
      </c>
      <c r="AF54" s="12">
        <v>22</v>
      </c>
      <c r="AG54" s="12">
        <v>22</v>
      </c>
      <c r="AH54" s="14">
        <v>22</v>
      </c>
      <c r="AI54" s="21">
        <f t="shared" si="0"/>
        <v>641</v>
      </c>
      <c r="AJ54" s="275"/>
    </row>
    <row r="55" spans="2:36" ht="15.6" x14ac:dyDescent="0.3">
      <c r="B55" s="273"/>
      <c r="C55" s="25">
        <v>42979</v>
      </c>
      <c r="D55" s="12">
        <v>22</v>
      </c>
      <c r="E55" s="12">
        <v>17</v>
      </c>
      <c r="F55" s="12">
        <v>18</v>
      </c>
      <c r="G55" s="12">
        <v>22</v>
      </c>
      <c r="H55" s="12">
        <v>22</v>
      </c>
      <c r="I55" s="12">
        <v>22</v>
      </c>
      <c r="J55" s="12">
        <v>22</v>
      </c>
      <c r="K55" s="12">
        <v>22</v>
      </c>
      <c r="L55" s="12">
        <v>17</v>
      </c>
      <c r="M55" s="12">
        <v>18</v>
      </c>
      <c r="N55" s="12">
        <v>22</v>
      </c>
      <c r="O55" s="12">
        <v>22</v>
      </c>
      <c r="P55" s="12">
        <v>22</v>
      </c>
      <c r="Q55" s="12">
        <v>22</v>
      </c>
      <c r="R55" s="12">
        <v>22</v>
      </c>
      <c r="S55" s="12">
        <v>16</v>
      </c>
      <c r="T55" s="12">
        <v>18</v>
      </c>
      <c r="U55" s="12">
        <v>20</v>
      </c>
      <c r="V55" s="12">
        <v>20</v>
      </c>
      <c r="W55" s="12">
        <v>20</v>
      </c>
      <c r="X55" s="12">
        <v>20</v>
      </c>
      <c r="Y55" s="12">
        <v>22</v>
      </c>
      <c r="Z55" s="12">
        <v>16</v>
      </c>
      <c r="AA55" s="12">
        <v>18</v>
      </c>
      <c r="AB55" s="12">
        <v>20</v>
      </c>
      <c r="AC55" s="12">
        <v>20</v>
      </c>
      <c r="AD55" s="12">
        <v>20</v>
      </c>
      <c r="AE55" s="12">
        <v>20</v>
      </c>
      <c r="AF55" s="12">
        <v>22</v>
      </c>
      <c r="AG55" s="12">
        <v>16</v>
      </c>
      <c r="AH55" s="13"/>
      <c r="AI55" s="21">
        <f t="shared" si="0"/>
        <v>600</v>
      </c>
      <c r="AJ55" s="275"/>
    </row>
    <row r="56" spans="2:36" ht="15.6" x14ac:dyDescent="0.3">
      <c r="B56" s="273"/>
      <c r="C56" s="25">
        <v>43009</v>
      </c>
      <c r="D56" s="12">
        <v>18</v>
      </c>
      <c r="E56" s="12">
        <v>20</v>
      </c>
      <c r="F56" s="12">
        <v>20</v>
      </c>
      <c r="G56" s="12">
        <v>20</v>
      </c>
      <c r="H56" s="12">
        <v>20</v>
      </c>
      <c r="I56" s="12">
        <v>22</v>
      </c>
      <c r="J56" s="12">
        <v>16</v>
      </c>
      <c r="K56" s="12">
        <v>18</v>
      </c>
      <c r="L56" s="12">
        <v>20</v>
      </c>
      <c r="M56" s="12">
        <v>20</v>
      </c>
      <c r="N56" s="12">
        <v>22</v>
      </c>
      <c r="O56" s="12">
        <v>18</v>
      </c>
      <c r="P56" s="12">
        <v>18</v>
      </c>
      <c r="Q56" s="12">
        <v>16</v>
      </c>
      <c r="R56" s="12">
        <v>18</v>
      </c>
      <c r="S56" s="12">
        <v>18</v>
      </c>
      <c r="T56" s="12">
        <v>18</v>
      </c>
      <c r="U56" s="12">
        <v>18</v>
      </c>
      <c r="V56" s="12">
        <v>18</v>
      </c>
      <c r="W56" s="12">
        <v>20</v>
      </c>
      <c r="X56" s="12">
        <v>14</v>
      </c>
      <c r="Y56" s="12">
        <v>16</v>
      </c>
      <c r="Z56" s="12">
        <v>18</v>
      </c>
      <c r="AA56" s="12">
        <v>18</v>
      </c>
      <c r="AB56" s="12">
        <v>18</v>
      </c>
      <c r="AC56" s="12">
        <v>18</v>
      </c>
      <c r="AD56" s="12">
        <v>20</v>
      </c>
      <c r="AE56" s="12">
        <v>14</v>
      </c>
      <c r="AF56" s="12">
        <v>16</v>
      </c>
      <c r="AG56" s="12">
        <v>18</v>
      </c>
      <c r="AH56" s="14">
        <v>18</v>
      </c>
      <c r="AI56" s="21">
        <f t="shared" si="0"/>
        <v>566</v>
      </c>
      <c r="AJ56" s="275"/>
    </row>
    <row r="57" spans="2:36" ht="15.6" x14ac:dyDescent="0.3">
      <c r="B57" s="273"/>
      <c r="C57" s="25">
        <v>43040</v>
      </c>
      <c r="D57" s="12">
        <v>16</v>
      </c>
      <c r="E57" s="12">
        <v>18</v>
      </c>
      <c r="F57" s="12">
        <v>20</v>
      </c>
      <c r="G57" s="12">
        <v>15</v>
      </c>
      <c r="H57" s="12">
        <v>16</v>
      </c>
      <c r="I57" s="12">
        <v>18</v>
      </c>
      <c r="J57" s="12">
        <v>18</v>
      </c>
      <c r="K57" s="12">
        <v>20</v>
      </c>
      <c r="L57" s="12">
        <v>16</v>
      </c>
      <c r="M57" s="12">
        <v>16</v>
      </c>
      <c r="N57" s="12">
        <v>15</v>
      </c>
      <c r="O57" s="12">
        <v>16</v>
      </c>
      <c r="P57" s="12">
        <v>18</v>
      </c>
      <c r="Q57" s="12">
        <v>18</v>
      </c>
      <c r="R57" s="12">
        <v>18</v>
      </c>
      <c r="S57" s="12">
        <v>18</v>
      </c>
      <c r="T57" s="12">
        <v>20</v>
      </c>
      <c r="U57" s="12">
        <v>15</v>
      </c>
      <c r="V57" s="12">
        <v>16</v>
      </c>
      <c r="W57" s="12">
        <v>18</v>
      </c>
      <c r="X57" s="12">
        <v>18</v>
      </c>
      <c r="Y57" s="12">
        <v>18</v>
      </c>
      <c r="Z57" s="12">
        <v>18</v>
      </c>
      <c r="AA57" s="12">
        <v>20</v>
      </c>
      <c r="AB57" s="12">
        <v>15</v>
      </c>
      <c r="AC57" s="12">
        <v>16</v>
      </c>
      <c r="AD57" s="12">
        <v>18</v>
      </c>
      <c r="AE57" s="12">
        <v>18</v>
      </c>
      <c r="AF57" s="12">
        <v>18</v>
      </c>
      <c r="AG57" s="12">
        <v>18</v>
      </c>
      <c r="AH57" s="13"/>
      <c r="AI57" s="21">
        <f t="shared" si="0"/>
        <v>522</v>
      </c>
      <c r="AJ57" s="275"/>
    </row>
    <row r="58" spans="2:36" ht="15.6" x14ac:dyDescent="0.3">
      <c r="B58" s="273"/>
      <c r="C58" s="25">
        <v>43070</v>
      </c>
      <c r="D58" s="12">
        <v>20</v>
      </c>
      <c r="E58" s="12">
        <v>15</v>
      </c>
      <c r="F58" s="12">
        <v>16</v>
      </c>
      <c r="G58" s="12">
        <v>18</v>
      </c>
      <c r="H58" s="12">
        <v>20</v>
      </c>
      <c r="I58" s="12">
        <v>16</v>
      </c>
      <c r="J58" s="12">
        <v>14</v>
      </c>
      <c r="K58" s="12">
        <v>14</v>
      </c>
      <c r="L58" s="12">
        <v>15</v>
      </c>
      <c r="M58" s="12">
        <v>16</v>
      </c>
      <c r="N58" s="12">
        <v>18</v>
      </c>
      <c r="O58" s="12">
        <v>20</v>
      </c>
      <c r="P58" s="12">
        <v>20</v>
      </c>
      <c r="Q58" s="12">
        <v>20</v>
      </c>
      <c r="R58" s="12">
        <v>22</v>
      </c>
      <c r="S58" s="12">
        <v>17</v>
      </c>
      <c r="T58" s="12">
        <v>18</v>
      </c>
      <c r="U58" s="12">
        <v>20</v>
      </c>
      <c r="V58" s="12">
        <v>20</v>
      </c>
      <c r="W58" s="12">
        <v>20</v>
      </c>
      <c r="X58" s="12">
        <v>20</v>
      </c>
      <c r="Y58" s="12">
        <v>22</v>
      </c>
      <c r="Z58" s="12">
        <v>17</v>
      </c>
      <c r="AA58" s="12">
        <v>14</v>
      </c>
      <c r="AB58" s="12">
        <v>18</v>
      </c>
      <c r="AC58" s="12">
        <v>18</v>
      </c>
      <c r="AD58" s="12">
        <v>18</v>
      </c>
      <c r="AE58" s="12">
        <v>18</v>
      </c>
      <c r="AF58" s="12">
        <v>20</v>
      </c>
      <c r="AG58" s="12">
        <v>15</v>
      </c>
      <c r="AH58" s="14">
        <v>12</v>
      </c>
      <c r="AI58" s="21">
        <f t="shared" si="0"/>
        <v>551</v>
      </c>
      <c r="AJ58" s="275"/>
    </row>
    <row r="59" spans="2:36" ht="15.6" x14ac:dyDescent="0.3">
      <c r="B59" s="273"/>
      <c r="C59" s="25">
        <v>43101</v>
      </c>
      <c r="D59" s="12">
        <v>18</v>
      </c>
      <c r="E59" s="12">
        <v>18</v>
      </c>
      <c r="F59" s="12">
        <v>18</v>
      </c>
      <c r="G59" s="12">
        <v>18</v>
      </c>
      <c r="H59" s="12">
        <v>20</v>
      </c>
      <c r="I59" s="12">
        <v>15</v>
      </c>
      <c r="J59" s="12">
        <v>16</v>
      </c>
      <c r="K59" s="12">
        <v>18</v>
      </c>
      <c r="L59" s="12">
        <v>18</v>
      </c>
      <c r="M59" s="12">
        <v>18</v>
      </c>
      <c r="N59" s="12">
        <v>18</v>
      </c>
      <c r="O59" s="12">
        <v>20</v>
      </c>
      <c r="P59" s="12">
        <v>15</v>
      </c>
      <c r="Q59" s="12">
        <v>16</v>
      </c>
      <c r="R59" s="12">
        <v>20</v>
      </c>
      <c r="S59" s="12">
        <v>20</v>
      </c>
      <c r="T59" s="12">
        <v>20</v>
      </c>
      <c r="U59" s="12">
        <v>20</v>
      </c>
      <c r="V59" s="12">
        <v>22</v>
      </c>
      <c r="W59" s="12">
        <v>17</v>
      </c>
      <c r="X59" s="12">
        <v>18</v>
      </c>
      <c r="Y59" s="12">
        <v>20</v>
      </c>
      <c r="Z59" s="12">
        <v>20</v>
      </c>
      <c r="AA59" s="12">
        <v>20</v>
      </c>
      <c r="AB59" s="12">
        <v>20</v>
      </c>
      <c r="AC59" s="12">
        <v>22</v>
      </c>
      <c r="AD59" s="12">
        <v>17</v>
      </c>
      <c r="AE59" s="12">
        <v>18</v>
      </c>
      <c r="AF59" s="12">
        <v>20</v>
      </c>
      <c r="AG59" s="12">
        <v>20</v>
      </c>
      <c r="AH59" s="14">
        <v>20</v>
      </c>
      <c r="AI59" s="21">
        <f t="shared" si="0"/>
        <v>580</v>
      </c>
      <c r="AJ59" s="275"/>
    </row>
    <row r="60" spans="2:36" ht="15.6" x14ac:dyDescent="0.3">
      <c r="B60" s="273"/>
      <c r="C60" s="25">
        <v>43132</v>
      </c>
      <c r="D60" s="12">
        <v>20</v>
      </c>
      <c r="E60" s="12">
        <v>22</v>
      </c>
      <c r="F60" s="12">
        <v>17</v>
      </c>
      <c r="G60" s="12">
        <v>18</v>
      </c>
      <c r="H60" s="12">
        <v>20</v>
      </c>
      <c r="I60" s="12">
        <v>20</v>
      </c>
      <c r="J60" s="12">
        <v>20</v>
      </c>
      <c r="K60" s="12">
        <v>20</v>
      </c>
      <c r="L60" s="12">
        <v>22</v>
      </c>
      <c r="M60" s="12">
        <v>17</v>
      </c>
      <c r="N60" s="12">
        <v>18</v>
      </c>
      <c r="O60" s="12">
        <v>20</v>
      </c>
      <c r="P60" s="12">
        <v>20</v>
      </c>
      <c r="Q60" s="12">
        <v>20</v>
      </c>
      <c r="R60" s="12">
        <v>20</v>
      </c>
      <c r="S60" s="12">
        <v>22</v>
      </c>
      <c r="T60" s="12">
        <v>17</v>
      </c>
      <c r="U60" s="12">
        <v>18</v>
      </c>
      <c r="V60" s="12">
        <v>20</v>
      </c>
      <c r="W60" s="12">
        <v>20</v>
      </c>
      <c r="X60" s="12">
        <v>20</v>
      </c>
      <c r="Y60" s="12">
        <v>20</v>
      </c>
      <c r="Z60" s="12">
        <v>22</v>
      </c>
      <c r="AA60" s="12">
        <v>17</v>
      </c>
      <c r="AB60" s="12">
        <v>18</v>
      </c>
      <c r="AC60" s="12">
        <v>20</v>
      </c>
      <c r="AD60" s="12">
        <v>20</v>
      </c>
      <c r="AE60" s="12">
        <v>20</v>
      </c>
      <c r="AF60" s="12"/>
      <c r="AG60" s="12"/>
      <c r="AH60" s="13"/>
      <c r="AI60" s="21">
        <f t="shared" si="0"/>
        <v>548</v>
      </c>
      <c r="AJ60" s="275"/>
    </row>
    <row r="61" spans="2:36" ht="15.6" x14ac:dyDescent="0.3">
      <c r="B61" s="273"/>
      <c r="C61" s="25">
        <v>43160</v>
      </c>
      <c r="D61" s="12">
        <v>20</v>
      </c>
      <c r="E61" s="12">
        <v>22</v>
      </c>
      <c r="F61" s="12">
        <v>17</v>
      </c>
      <c r="G61" s="12">
        <v>17</v>
      </c>
      <c r="H61" s="12">
        <v>20</v>
      </c>
      <c r="I61" s="12">
        <v>20</v>
      </c>
      <c r="J61" s="12">
        <v>22</v>
      </c>
      <c r="K61" s="12">
        <v>17</v>
      </c>
      <c r="L61" s="12">
        <v>22</v>
      </c>
      <c r="M61" s="12">
        <v>17</v>
      </c>
      <c r="N61" s="12">
        <v>18</v>
      </c>
      <c r="O61" s="12">
        <v>20</v>
      </c>
      <c r="P61" s="12">
        <v>20</v>
      </c>
      <c r="Q61" s="12">
        <v>20</v>
      </c>
      <c r="R61" s="12">
        <v>20</v>
      </c>
      <c r="S61" s="12">
        <v>22</v>
      </c>
      <c r="T61" s="12">
        <v>17</v>
      </c>
      <c r="U61" s="12">
        <v>15</v>
      </c>
      <c r="V61" s="12">
        <v>18</v>
      </c>
      <c r="W61" s="12">
        <v>20</v>
      </c>
      <c r="X61" s="12">
        <v>20</v>
      </c>
      <c r="Y61" s="12">
        <v>20</v>
      </c>
      <c r="Z61" s="12">
        <v>22</v>
      </c>
      <c r="AA61" s="12">
        <v>17</v>
      </c>
      <c r="AB61" s="12">
        <v>18</v>
      </c>
      <c r="AC61" s="12">
        <v>20</v>
      </c>
      <c r="AD61" s="12">
        <v>20</v>
      </c>
      <c r="AE61" s="12">
        <v>22</v>
      </c>
      <c r="AF61" s="12">
        <v>18</v>
      </c>
      <c r="AG61" s="12">
        <v>14</v>
      </c>
      <c r="AH61" s="14">
        <v>15</v>
      </c>
      <c r="AI61" s="21">
        <f t="shared" si="0"/>
        <v>590</v>
      </c>
      <c r="AJ61" s="275"/>
    </row>
    <row r="62" spans="2:36" ht="15.6" x14ac:dyDescent="0.3">
      <c r="B62" s="273"/>
      <c r="C62" s="25">
        <v>43191</v>
      </c>
      <c r="D62" s="12">
        <v>18</v>
      </c>
      <c r="E62" s="12">
        <v>20</v>
      </c>
      <c r="F62" s="12">
        <v>20</v>
      </c>
      <c r="G62" s="12">
        <v>20</v>
      </c>
      <c r="H62" s="12">
        <v>20</v>
      </c>
      <c r="I62" s="12">
        <v>22</v>
      </c>
      <c r="J62" s="12">
        <v>17</v>
      </c>
      <c r="K62" s="12">
        <v>18</v>
      </c>
      <c r="L62" s="12">
        <v>20</v>
      </c>
      <c r="M62" s="12">
        <v>20</v>
      </c>
      <c r="N62" s="12">
        <v>20</v>
      </c>
      <c r="O62" s="12">
        <v>20</v>
      </c>
      <c r="P62" s="12">
        <v>22</v>
      </c>
      <c r="Q62" s="12">
        <v>17</v>
      </c>
      <c r="R62" s="12">
        <v>18</v>
      </c>
      <c r="S62" s="12">
        <v>20</v>
      </c>
      <c r="T62" s="12">
        <v>20</v>
      </c>
      <c r="U62" s="12">
        <v>20</v>
      </c>
      <c r="V62" s="12">
        <v>20</v>
      </c>
      <c r="W62" s="12">
        <v>22</v>
      </c>
      <c r="X62" s="12">
        <v>17</v>
      </c>
      <c r="Y62" s="12">
        <v>18</v>
      </c>
      <c r="Z62" s="12">
        <v>20</v>
      </c>
      <c r="AA62" s="12">
        <v>20</v>
      </c>
      <c r="AB62" s="12">
        <v>20</v>
      </c>
      <c r="AC62" s="12">
        <v>20</v>
      </c>
      <c r="AD62" s="12">
        <v>22</v>
      </c>
      <c r="AE62" s="12">
        <v>17</v>
      </c>
      <c r="AF62" s="12">
        <v>18</v>
      </c>
      <c r="AG62" s="12">
        <v>17</v>
      </c>
      <c r="AH62" s="13"/>
      <c r="AI62" s="21">
        <f t="shared" si="0"/>
        <v>583</v>
      </c>
      <c r="AJ62" s="275"/>
    </row>
    <row r="63" spans="2:36" ht="16.2" thickBot="1" x14ac:dyDescent="0.35">
      <c r="B63" s="274"/>
      <c r="C63" s="26">
        <v>43221</v>
      </c>
      <c r="D63" s="18">
        <v>17</v>
      </c>
      <c r="E63" s="18">
        <v>18</v>
      </c>
      <c r="F63" s="18">
        <v>20</v>
      </c>
      <c r="G63" s="18">
        <v>22</v>
      </c>
      <c r="H63" s="18">
        <v>17</v>
      </c>
      <c r="I63" s="18">
        <v>18</v>
      </c>
      <c r="J63" s="18">
        <v>20</v>
      </c>
      <c r="K63" s="18">
        <v>20</v>
      </c>
      <c r="L63" s="18">
        <v>20</v>
      </c>
      <c r="M63" s="18">
        <v>20</v>
      </c>
      <c r="N63" s="18">
        <v>22</v>
      </c>
      <c r="O63" s="18">
        <v>17</v>
      </c>
      <c r="P63" s="18">
        <v>18</v>
      </c>
      <c r="Q63" s="18">
        <v>20</v>
      </c>
      <c r="R63" s="18">
        <v>18</v>
      </c>
      <c r="S63" s="18">
        <v>20</v>
      </c>
      <c r="T63" s="18">
        <v>20</v>
      </c>
      <c r="U63" s="18">
        <v>22</v>
      </c>
      <c r="V63" s="18">
        <v>17</v>
      </c>
      <c r="W63" s="18">
        <v>18</v>
      </c>
      <c r="X63" s="18">
        <v>20</v>
      </c>
      <c r="Y63" s="18">
        <v>20</v>
      </c>
      <c r="Z63" s="18">
        <v>20</v>
      </c>
      <c r="AA63" s="18">
        <v>20</v>
      </c>
      <c r="AB63" s="18">
        <v>22</v>
      </c>
      <c r="AC63" s="18">
        <v>17</v>
      </c>
      <c r="AD63" s="18">
        <v>18</v>
      </c>
      <c r="AE63" s="18">
        <v>20</v>
      </c>
      <c r="AF63" s="18">
        <v>20</v>
      </c>
      <c r="AG63" s="18">
        <v>20</v>
      </c>
      <c r="AH63" s="19">
        <v>20</v>
      </c>
      <c r="AI63" s="22">
        <f t="shared" si="0"/>
        <v>601</v>
      </c>
      <c r="AJ63" s="275"/>
    </row>
    <row r="64" spans="2:36" ht="15.6" x14ac:dyDescent="0.3">
      <c r="B64" s="272">
        <v>6</v>
      </c>
      <c r="C64" s="24">
        <v>43252</v>
      </c>
      <c r="D64" s="15">
        <v>22</v>
      </c>
      <c r="E64" s="15">
        <v>17</v>
      </c>
      <c r="F64" s="15">
        <v>18</v>
      </c>
      <c r="G64" s="15">
        <v>20</v>
      </c>
      <c r="H64" s="15">
        <v>20</v>
      </c>
      <c r="I64" s="15">
        <v>20</v>
      </c>
      <c r="J64" s="15">
        <v>20</v>
      </c>
      <c r="K64" s="15">
        <v>22</v>
      </c>
      <c r="L64" s="15">
        <v>17</v>
      </c>
      <c r="M64" s="15">
        <v>18</v>
      </c>
      <c r="N64" s="15">
        <v>20</v>
      </c>
      <c r="O64" s="16">
        <v>20</v>
      </c>
      <c r="P64" s="16">
        <v>20</v>
      </c>
      <c r="Q64" s="16">
        <v>20</v>
      </c>
      <c r="R64" s="16">
        <v>22</v>
      </c>
      <c r="S64" s="16">
        <v>17</v>
      </c>
      <c r="T64" s="16">
        <v>18</v>
      </c>
      <c r="U64" s="16">
        <v>22</v>
      </c>
      <c r="V64" s="16">
        <v>22</v>
      </c>
      <c r="W64" s="16">
        <v>22</v>
      </c>
      <c r="X64" s="16">
        <v>22</v>
      </c>
      <c r="Y64" s="16">
        <v>22</v>
      </c>
      <c r="Z64" s="16">
        <v>17</v>
      </c>
      <c r="AA64" s="16">
        <v>18</v>
      </c>
      <c r="AB64" s="16">
        <v>22</v>
      </c>
      <c r="AC64" s="16">
        <v>22</v>
      </c>
      <c r="AD64" s="16">
        <v>22</v>
      </c>
      <c r="AE64" s="16">
        <v>22</v>
      </c>
      <c r="AF64" s="16">
        <v>22</v>
      </c>
      <c r="AG64" s="16">
        <v>17</v>
      </c>
      <c r="AH64" s="17"/>
      <c r="AI64" s="20">
        <f t="shared" si="0"/>
        <v>603</v>
      </c>
      <c r="AJ64" s="275">
        <f t="shared" ref="AJ64" si="5">SUM(AI64:AI75)</f>
        <v>7364</v>
      </c>
    </row>
    <row r="65" spans="2:36" ht="15.6" x14ac:dyDescent="0.3">
      <c r="B65" s="273"/>
      <c r="C65" s="25">
        <v>43282</v>
      </c>
      <c r="D65" s="12">
        <v>18</v>
      </c>
      <c r="E65" s="12">
        <v>22</v>
      </c>
      <c r="F65" s="12">
        <v>22</v>
      </c>
      <c r="G65" s="12">
        <v>22</v>
      </c>
      <c r="H65" s="12">
        <v>22</v>
      </c>
      <c r="I65" s="12">
        <v>23</v>
      </c>
      <c r="J65" s="12">
        <v>16</v>
      </c>
      <c r="K65" s="12">
        <v>18</v>
      </c>
      <c r="L65" s="12">
        <v>22</v>
      </c>
      <c r="M65" s="12">
        <v>23</v>
      </c>
      <c r="N65" s="12">
        <v>22</v>
      </c>
      <c r="O65" s="12">
        <v>22</v>
      </c>
      <c r="P65" s="12">
        <v>22</v>
      </c>
      <c r="Q65" s="12">
        <v>16</v>
      </c>
      <c r="R65" s="12">
        <v>18</v>
      </c>
      <c r="S65" s="12">
        <v>22</v>
      </c>
      <c r="T65" s="12">
        <v>22</v>
      </c>
      <c r="U65" s="12">
        <v>22</v>
      </c>
      <c r="V65" s="12">
        <v>22</v>
      </c>
      <c r="W65" s="12">
        <v>22</v>
      </c>
      <c r="X65" s="12">
        <v>16</v>
      </c>
      <c r="Y65" s="12">
        <v>18</v>
      </c>
      <c r="Z65" s="12">
        <v>22</v>
      </c>
      <c r="AA65" s="12">
        <v>22</v>
      </c>
      <c r="AB65" s="12">
        <v>22</v>
      </c>
      <c r="AC65" s="12">
        <v>22</v>
      </c>
      <c r="AD65" s="12">
        <v>22</v>
      </c>
      <c r="AE65" s="12">
        <v>16</v>
      </c>
      <c r="AF65" s="12">
        <v>18</v>
      </c>
      <c r="AG65" s="12">
        <v>23</v>
      </c>
      <c r="AH65" s="14">
        <v>22</v>
      </c>
      <c r="AI65" s="21">
        <f t="shared" si="0"/>
        <v>641</v>
      </c>
      <c r="AJ65" s="275"/>
    </row>
    <row r="66" spans="2:36" ht="15.6" x14ac:dyDescent="0.3">
      <c r="B66" s="273"/>
      <c r="C66" s="25">
        <v>43313</v>
      </c>
      <c r="D66" s="12">
        <v>22</v>
      </c>
      <c r="E66" s="12">
        <v>22</v>
      </c>
      <c r="F66" s="12">
        <v>22</v>
      </c>
      <c r="G66" s="12">
        <v>16</v>
      </c>
      <c r="H66" s="12">
        <v>18</v>
      </c>
      <c r="I66" s="12">
        <v>22</v>
      </c>
      <c r="J66" s="12">
        <v>22</v>
      </c>
      <c r="K66" s="12">
        <v>22</v>
      </c>
      <c r="L66" s="12">
        <v>22</v>
      </c>
      <c r="M66" s="12">
        <v>22</v>
      </c>
      <c r="N66" s="12">
        <v>16</v>
      </c>
      <c r="O66" s="12">
        <v>18</v>
      </c>
      <c r="P66" s="12">
        <v>22</v>
      </c>
      <c r="Q66" s="12">
        <v>22</v>
      </c>
      <c r="R66" s="12">
        <v>20</v>
      </c>
      <c r="S66" s="12">
        <v>22</v>
      </c>
      <c r="T66" s="12">
        <v>22</v>
      </c>
      <c r="U66" s="12">
        <v>15</v>
      </c>
      <c r="V66" s="12">
        <v>18</v>
      </c>
      <c r="W66" s="12">
        <v>22</v>
      </c>
      <c r="X66" s="12">
        <v>22</v>
      </c>
      <c r="Y66" s="12">
        <v>22</v>
      </c>
      <c r="Z66" s="12">
        <v>22</v>
      </c>
      <c r="AA66" s="12">
        <v>22</v>
      </c>
      <c r="AB66" s="12">
        <v>16</v>
      </c>
      <c r="AC66" s="12">
        <v>18</v>
      </c>
      <c r="AD66" s="12">
        <v>22</v>
      </c>
      <c r="AE66" s="12">
        <v>22</v>
      </c>
      <c r="AF66" s="12">
        <v>22</v>
      </c>
      <c r="AG66" s="12">
        <v>22</v>
      </c>
      <c r="AH66" s="14">
        <v>22</v>
      </c>
      <c r="AI66" s="21">
        <f t="shared" si="0"/>
        <v>639</v>
      </c>
      <c r="AJ66" s="275"/>
    </row>
    <row r="67" spans="2:36" ht="15.6" x14ac:dyDescent="0.3">
      <c r="B67" s="273"/>
      <c r="C67" s="25">
        <v>43344</v>
      </c>
      <c r="D67" s="12">
        <v>16</v>
      </c>
      <c r="E67" s="12">
        <v>18</v>
      </c>
      <c r="F67" s="12">
        <v>22</v>
      </c>
      <c r="G67" s="12">
        <v>22</v>
      </c>
      <c r="H67" s="12">
        <v>22</v>
      </c>
      <c r="I67" s="12">
        <v>22</v>
      </c>
      <c r="J67" s="12">
        <v>22</v>
      </c>
      <c r="K67" s="12">
        <v>16</v>
      </c>
      <c r="L67" s="12">
        <v>18</v>
      </c>
      <c r="M67" s="12">
        <v>22</v>
      </c>
      <c r="N67" s="12">
        <v>22</v>
      </c>
      <c r="O67" s="12">
        <v>22</v>
      </c>
      <c r="P67" s="12">
        <v>22</v>
      </c>
      <c r="Q67" s="12">
        <v>22</v>
      </c>
      <c r="R67" s="12">
        <v>16</v>
      </c>
      <c r="S67" s="12">
        <v>18</v>
      </c>
      <c r="T67" s="12">
        <v>22</v>
      </c>
      <c r="U67" s="12">
        <v>22</v>
      </c>
      <c r="V67" s="12">
        <v>22</v>
      </c>
      <c r="W67" s="12">
        <v>22</v>
      </c>
      <c r="X67" s="12">
        <v>24</v>
      </c>
      <c r="Y67" s="12">
        <v>15</v>
      </c>
      <c r="Z67" s="12">
        <v>18</v>
      </c>
      <c r="AA67" s="12">
        <v>22</v>
      </c>
      <c r="AB67" s="12">
        <v>22</v>
      </c>
      <c r="AC67" s="12">
        <v>22</v>
      </c>
      <c r="AD67" s="12">
        <v>22</v>
      </c>
      <c r="AE67" s="12">
        <v>24</v>
      </c>
      <c r="AF67" s="12">
        <v>16</v>
      </c>
      <c r="AG67" s="12">
        <v>18</v>
      </c>
      <c r="AH67" s="13"/>
      <c r="AI67" s="21">
        <f t="shared" si="0"/>
        <v>613</v>
      </c>
      <c r="AJ67" s="275"/>
    </row>
    <row r="68" spans="2:36" ht="15.6" x14ac:dyDescent="0.3">
      <c r="B68" s="273"/>
      <c r="C68" s="25">
        <v>43374</v>
      </c>
      <c r="D68" s="12">
        <v>22</v>
      </c>
      <c r="E68" s="12">
        <v>22</v>
      </c>
      <c r="F68" s="12">
        <v>22</v>
      </c>
      <c r="G68" s="12">
        <v>22</v>
      </c>
      <c r="H68" s="12">
        <v>24</v>
      </c>
      <c r="I68" s="12">
        <v>16</v>
      </c>
      <c r="J68" s="12">
        <v>18</v>
      </c>
      <c r="K68" s="12">
        <v>22</v>
      </c>
      <c r="L68" s="12">
        <v>22</v>
      </c>
      <c r="M68" s="12">
        <v>22</v>
      </c>
      <c r="N68" s="12">
        <v>24</v>
      </c>
      <c r="O68" s="12">
        <v>20</v>
      </c>
      <c r="P68" s="12">
        <v>16</v>
      </c>
      <c r="Q68" s="12">
        <v>18</v>
      </c>
      <c r="R68" s="12">
        <v>22</v>
      </c>
      <c r="S68" s="12">
        <v>22</v>
      </c>
      <c r="T68" s="12">
        <v>22</v>
      </c>
      <c r="U68" s="12">
        <v>22</v>
      </c>
      <c r="V68" s="12">
        <v>24</v>
      </c>
      <c r="W68" s="12">
        <v>16</v>
      </c>
      <c r="X68" s="12">
        <v>18</v>
      </c>
      <c r="Y68" s="12">
        <v>22</v>
      </c>
      <c r="Z68" s="12">
        <v>22</v>
      </c>
      <c r="AA68" s="12">
        <v>22</v>
      </c>
      <c r="AB68" s="12">
        <v>22</v>
      </c>
      <c r="AC68" s="12">
        <v>24</v>
      </c>
      <c r="AD68" s="12">
        <v>16</v>
      </c>
      <c r="AE68" s="12">
        <v>18</v>
      </c>
      <c r="AF68" s="12">
        <v>22</v>
      </c>
      <c r="AG68" s="12">
        <v>22</v>
      </c>
      <c r="AH68" s="14">
        <v>21</v>
      </c>
      <c r="AI68" s="21">
        <f t="shared" si="0"/>
        <v>647</v>
      </c>
      <c r="AJ68" s="275"/>
    </row>
    <row r="69" spans="2:36" ht="15.6" x14ac:dyDescent="0.3">
      <c r="B69" s="273"/>
      <c r="C69" s="25">
        <v>43405</v>
      </c>
      <c r="D69" s="12">
        <v>18</v>
      </c>
      <c r="E69" s="12">
        <v>24</v>
      </c>
      <c r="F69" s="12">
        <v>16</v>
      </c>
      <c r="G69" s="12">
        <v>18</v>
      </c>
      <c r="H69" s="12">
        <v>22</v>
      </c>
      <c r="I69" s="12">
        <v>22</v>
      </c>
      <c r="J69" s="12">
        <v>22</v>
      </c>
      <c r="K69" s="12">
        <v>23</v>
      </c>
      <c r="L69" s="12">
        <v>21</v>
      </c>
      <c r="M69" s="12">
        <v>16</v>
      </c>
      <c r="N69" s="12">
        <v>18</v>
      </c>
      <c r="O69" s="12">
        <v>22</v>
      </c>
      <c r="P69" s="12">
        <v>22</v>
      </c>
      <c r="Q69" s="12">
        <v>22</v>
      </c>
      <c r="R69" s="12">
        <v>22</v>
      </c>
      <c r="S69" s="12">
        <v>24</v>
      </c>
      <c r="T69" s="12">
        <v>16</v>
      </c>
      <c r="U69" s="12">
        <v>18</v>
      </c>
      <c r="V69" s="12">
        <v>22</v>
      </c>
      <c r="W69" s="12">
        <v>22</v>
      </c>
      <c r="X69" s="12">
        <v>22</v>
      </c>
      <c r="Y69" s="12">
        <v>22</v>
      </c>
      <c r="Z69" s="12">
        <v>24</v>
      </c>
      <c r="AA69" s="12">
        <v>16</v>
      </c>
      <c r="AB69" s="12">
        <v>18</v>
      </c>
      <c r="AC69" s="12">
        <v>22</v>
      </c>
      <c r="AD69" s="12">
        <v>22</v>
      </c>
      <c r="AE69" s="12">
        <v>22</v>
      </c>
      <c r="AF69" s="12">
        <v>22</v>
      </c>
      <c r="AG69" s="12">
        <v>24</v>
      </c>
      <c r="AH69" s="13"/>
      <c r="AI69" s="21">
        <f t="shared" ref="AI69:AI121" si="6">SUM(D69:AH69)</f>
        <v>624</v>
      </c>
      <c r="AJ69" s="275"/>
    </row>
    <row r="70" spans="2:36" ht="15.6" x14ac:dyDescent="0.3">
      <c r="B70" s="273"/>
      <c r="C70" s="25">
        <v>43435</v>
      </c>
      <c r="D70" s="12">
        <v>16</v>
      </c>
      <c r="E70" s="12">
        <v>18</v>
      </c>
      <c r="F70" s="12">
        <v>22</v>
      </c>
      <c r="G70" s="12">
        <v>22</v>
      </c>
      <c r="H70" s="12">
        <v>24</v>
      </c>
      <c r="I70" s="12">
        <v>18</v>
      </c>
      <c r="J70" s="12">
        <v>22</v>
      </c>
      <c r="K70" s="12">
        <v>16</v>
      </c>
      <c r="L70" s="12">
        <v>18</v>
      </c>
      <c r="M70" s="12">
        <v>22</v>
      </c>
      <c r="N70" s="12">
        <v>22</v>
      </c>
      <c r="O70" s="12">
        <v>22</v>
      </c>
      <c r="P70" s="12">
        <v>22</v>
      </c>
      <c r="Q70" s="12">
        <v>20</v>
      </c>
      <c r="R70" s="12">
        <v>16</v>
      </c>
      <c r="S70" s="12">
        <v>18</v>
      </c>
      <c r="T70" s="12">
        <v>22</v>
      </c>
      <c r="U70" s="12">
        <v>22</v>
      </c>
      <c r="V70" s="12">
        <v>22</v>
      </c>
      <c r="W70" s="12">
        <v>22</v>
      </c>
      <c r="X70" s="12">
        <v>20</v>
      </c>
      <c r="Y70" s="12">
        <v>16</v>
      </c>
      <c r="Z70" s="12">
        <v>18</v>
      </c>
      <c r="AA70" s="12">
        <v>15</v>
      </c>
      <c r="AB70" s="12">
        <v>20</v>
      </c>
      <c r="AC70" s="12">
        <v>18</v>
      </c>
      <c r="AD70" s="12">
        <v>18</v>
      </c>
      <c r="AE70" s="12">
        <v>20</v>
      </c>
      <c r="AF70" s="12">
        <v>14</v>
      </c>
      <c r="AG70" s="12">
        <v>16</v>
      </c>
      <c r="AH70" s="14">
        <v>15</v>
      </c>
      <c r="AI70" s="21">
        <f t="shared" si="6"/>
        <v>596</v>
      </c>
      <c r="AJ70" s="275"/>
    </row>
    <row r="71" spans="2:36" ht="15.6" x14ac:dyDescent="0.3">
      <c r="B71" s="273"/>
      <c r="C71" s="25">
        <v>43466</v>
      </c>
      <c r="D71" s="12">
        <v>20</v>
      </c>
      <c r="E71" s="12">
        <v>18</v>
      </c>
      <c r="F71" s="12">
        <v>18</v>
      </c>
      <c r="G71" s="12">
        <v>20</v>
      </c>
      <c r="H71" s="12">
        <v>14</v>
      </c>
      <c r="I71" s="12">
        <v>11</v>
      </c>
      <c r="J71" s="12">
        <v>19</v>
      </c>
      <c r="K71" s="12">
        <v>22</v>
      </c>
      <c r="L71" s="12">
        <v>22</v>
      </c>
      <c r="M71" s="12">
        <v>22</v>
      </c>
      <c r="N71" s="12">
        <v>24</v>
      </c>
      <c r="O71" s="12">
        <v>16</v>
      </c>
      <c r="P71" s="12">
        <v>18</v>
      </c>
      <c r="Q71" s="12">
        <v>22</v>
      </c>
      <c r="R71" s="12">
        <v>22</v>
      </c>
      <c r="S71" s="12">
        <v>22</v>
      </c>
      <c r="T71" s="12">
        <v>22</v>
      </c>
      <c r="U71" s="12">
        <v>24</v>
      </c>
      <c r="V71" s="12">
        <v>16</v>
      </c>
      <c r="W71" s="12">
        <v>18</v>
      </c>
      <c r="X71" s="12">
        <v>22</v>
      </c>
      <c r="Y71" s="12">
        <v>22</v>
      </c>
      <c r="Z71" s="12">
        <v>22</v>
      </c>
      <c r="AA71" s="12">
        <v>22</v>
      </c>
      <c r="AB71" s="12">
        <v>24</v>
      </c>
      <c r="AC71" s="12">
        <v>16</v>
      </c>
      <c r="AD71" s="12">
        <v>18</v>
      </c>
      <c r="AE71" s="12">
        <v>22</v>
      </c>
      <c r="AF71" s="12">
        <v>22</v>
      </c>
      <c r="AG71" s="12">
        <v>22</v>
      </c>
      <c r="AH71" s="14">
        <v>22</v>
      </c>
      <c r="AI71" s="21">
        <f t="shared" si="6"/>
        <v>624</v>
      </c>
      <c r="AJ71" s="275"/>
    </row>
    <row r="72" spans="2:36" ht="15.6" x14ac:dyDescent="0.3">
      <c r="B72" s="273"/>
      <c r="C72" s="25">
        <v>43497</v>
      </c>
      <c r="D72" s="12">
        <v>24</v>
      </c>
      <c r="E72" s="12">
        <v>16</v>
      </c>
      <c r="F72" s="12">
        <v>18</v>
      </c>
      <c r="G72" s="12">
        <v>22</v>
      </c>
      <c r="H72" s="12">
        <v>22</v>
      </c>
      <c r="I72" s="12">
        <v>22</v>
      </c>
      <c r="J72" s="12">
        <v>22</v>
      </c>
      <c r="K72" s="12">
        <v>24</v>
      </c>
      <c r="L72" s="12">
        <v>16</v>
      </c>
      <c r="M72" s="12">
        <v>18</v>
      </c>
      <c r="N72" s="12">
        <v>22</v>
      </c>
      <c r="O72" s="12">
        <v>22</v>
      </c>
      <c r="P72" s="12">
        <v>22</v>
      </c>
      <c r="Q72" s="12">
        <v>22</v>
      </c>
      <c r="R72" s="12">
        <v>24</v>
      </c>
      <c r="S72" s="12">
        <v>16</v>
      </c>
      <c r="T72" s="12">
        <v>18</v>
      </c>
      <c r="U72" s="12">
        <v>22</v>
      </c>
      <c r="V72" s="12">
        <v>22</v>
      </c>
      <c r="W72" s="12">
        <v>22</v>
      </c>
      <c r="X72" s="12">
        <v>22</v>
      </c>
      <c r="Y72" s="12">
        <v>24</v>
      </c>
      <c r="Z72" s="12">
        <v>16</v>
      </c>
      <c r="AA72" s="12">
        <v>18</v>
      </c>
      <c r="AB72" s="12">
        <v>22</v>
      </c>
      <c r="AC72" s="12">
        <v>22</v>
      </c>
      <c r="AD72" s="12">
        <v>22</v>
      </c>
      <c r="AE72" s="12">
        <v>22</v>
      </c>
      <c r="AF72" s="12"/>
      <c r="AG72" s="12"/>
      <c r="AH72" s="13"/>
      <c r="AI72" s="21">
        <f t="shared" si="6"/>
        <v>584</v>
      </c>
      <c r="AJ72" s="275"/>
    </row>
    <row r="73" spans="2:36" ht="15.6" x14ac:dyDescent="0.3">
      <c r="B73" s="273"/>
      <c r="C73" s="25">
        <v>43525</v>
      </c>
      <c r="D73" s="12">
        <v>24</v>
      </c>
      <c r="E73" s="12">
        <v>16</v>
      </c>
      <c r="F73" s="12">
        <v>18</v>
      </c>
      <c r="G73" s="12">
        <v>21</v>
      </c>
      <c r="H73" s="12">
        <v>22</v>
      </c>
      <c r="I73" s="12">
        <v>22</v>
      </c>
      <c r="J73" s="12">
        <v>22</v>
      </c>
      <c r="K73" s="12">
        <v>21</v>
      </c>
      <c r="L73" s="12">
        <v>16</v>
      </c>
      <c r="M73" s="12">
        <v>18</v>
      </c>
      <c r="N73" s="12">
        <v>22</v>
      </c>
      <c r="O73" s="12">
        <v>22</v>
      </c>
      <c r="P73" s="12">
        <v>22</v>
      </c>
      <c r="Q73" s="12">
        <v>22</v>
      </c>
      <c r="R73" s="12">
        <v>24</v>
      </c>
      <c r="S73" s="12">
        <v>16</v>
      </c>
      <c r="T73" s="12">
        <v>18</v>
      </c>
      <c r="U73" s="12">
        <v>20</v>
      </c>
      <c r="V73" s="12">
        <v>20</v>
      </c>
      <c r="W73" s="12">
        <v>22</v>
      </c>
      <c r="X73" s="12">
        <v>21</v>
      </c>
      <c r="Y73" s="12">
        <v>22</v>
      </c>
      <c r="Z73" s="12">
        <v>16</v>
      </c>
      <c r="AA73" s="12">
        <v>18</v>
      </c>
      <c r="AB73" s="12">
        <v>20</v>
      </c>
      <c r="AC73" s="12">
        <v>20</v>
      </c>
      <c r="AD73" s="12">
        <v>20</v>
      </c>
      <c r="AE73" s="12">
        <v>20</v>
      </c>
      <c r="AF73" s="12">
        <v>22</v>
      </c>
      <c r="AG73" s="12">
        <v>16</v>
      </c>
      <c r="AH73" s="14">
        <v>18</v>
      </c>
      <c r="AI73" s="21">
        <f t="shared" si="6"/>
        <v>621</v>
      </c>
      <c r="AJ73" s="275"/>
    </row>
    <row r="74" spans="2:36" ht="15.6" x14ac:dyDescent="0.3">
      <c r="B74" s="273"/>
      <c r="C74" s="25">
        <v>43556</v>
      </c>
      <c r="D74" s="12">
        <v>18</v>
      </c>
      <c r="E74" s="12">
        <v>18</v>
      </c>
      <c r="F74" s="12">
        <v>18</v>
      </c>
      <c r="G74" s="12">
        <v>18</v>
      </c>
      <c r="H74" s="12">
        <v>20</v>
      </c>
      <c r="I74" s="12">
        <v>14</v>
      </c>
      <c r="J74" s="12">
        <v>16</v>
      </c>
      <c r="K74" s="12">
        <v>18</v>
      </c>
      <c r="L74" s="12">
        <v>18</v>
      </c>
      <c r="M74" s="12">
        <v>18</v>
      </c>
      <c r="N74" s="12">
        <v>18</v>
      </c>
      <c r="O74" s="12">
        <v>20</v>
      </c>
      <c r="P74" s="12">
        <v>14</v>
      </c>
      <c r="Q74" s="12">
        <v>16</v>
      </c>
      <c r="R74" s="12">
        <v>18</v>
      </c>
      <c r="S74" s="12">
        <v>18</v>
      </c>
      <c r="T74" s="12">
        <v>20</v>
      </c>
      <c r="U74" s="12">
        <v>16</v>
      </c>
      <c r="V74" s="12">
        <v>12</v>
      </c>
      <c r="W74" s="12">
        <v>12</v>
      </c>
      <c r="X74" s="12">
        <v>16</v>
      </c>
      <c r="Y74" s="12">
        <v>16</v>
      </c>
      <c r="Z74" s="12">
        <v>18</v>
      </c>
      <c r="AA74" s="12">
        <v>18</v>
      </c>
      <c r="AB74" s="12">
        <v>18</v>
      </c>
      <c r="AC74" s="12">
        <v>18</v>
      </c>
      <c r="AD74" s="12">
        <v>14</v>
      </c>
      <c r="AE74" s="12">
        <v>16</v>
      </c>
      <c r="AF74" s="12">
        <v>16</v>
      </c>
      <c r="AG74" s="12">
        <v>20</v>
      </c>
      <c r="AH74" s="13"/>
      <c r="AI74" s="21">
        <f t="shared" si="6"/>
        <v>510</v>
      </c>
      <c r="AJ74" s="275"/>
    </row>
    <row r="75" spans="2:36" ht="16.2" thickBot="1" x14ac:dyDescent="0.35">
      <c r="B75" s="274"/>
      <c r="C75" s="26">
        <v>43586</v>
      </c>
      <c r="D75" s="18">
        <v>18</v>
      </c>
      <c r="E75" s="18">
        <v>18</v>
      </c>
      <c r="F75" s="18">
        <v>20</v>
      </c>
      <c r="G75" s="18">
        <v>17</v>
      </c>
      <c r="H75" s="18">
        <v>19</v>
      </c>
      <c r="I75" s="18">
        <v>22</v>
      </c>
      <c r="J75" s="18">
        <v>22</v>
      </c>
      <c r="K75" s="18">
        <v>22</v>
      </c>
      <c r="L75" s="18">
        <v>22</v>
      </c>
      <c r="M75" s="18">
        <v>24</v>
      </c>
      <c r="N75" s="18">
        <v>16</v>
      </c>
      <c r="O75" s="18">
        <v>18</v>
      </c>
      <c r="P75" s="18">
        <v>22</v>
      </c>
      <c r="Q75" s="18">
        <v>22</v>
      </c>
      <c r="R75" s="18">
        <v>18</v>
      </c>
      <c r="S75" s="18">
        <v>22</v>
      </c>
      <c r="T75" s="18">
        <v>24</v>
      </c>
      <c r="U75" s="18">
        <v>16</v>
      </c>
      <c r="V75" s="18">
        <v>18</v>
      </c>
      <c r="W75" s="18">
        <v>24</v>
      </c>
      <c r="X75" s="18">
        <v>24</v>
      </c>
      <c r="Y75" s="18">
        <v>24</v>
      </c>
      <c r="Z75" s="18">
        <v>24</v>
      </c>
      <c r="AA75" s="18">
        <v>26</v>
      </c>
      <c r="AB75" s="18">
        <v>18</v>
      </c>
      <c r="AC75" s="18">
        <v>20</v>
      </c>
      <c r="AD75" s="18">
        <v>24</v>
      </c>
      <c r="AE75" s="18">
        <v>24</v>
      </c>
      <c r="AF75" s="18">
        <v>24</v>
      </c>
      <c r="AG75" s="18">
        <v>24</v>
      </c>
      <c r="AH75" s="19">
        <v>26</v>
      </c>
      <c r="AI75" s="22">
        <f t="shared" si="6"/>
        <v>662</v>
      </c>
      <c r="AJ75" s="275"/>
    </row>
    <row r="76" spans="2:36" ht="15.6" x14ac:dyDescent="0.3">
      <c r="B76" s="272">
        <v>7</v>
      </c>
      <c r="C76" s="24">
        <v>43617</v>
      </c>
      <c r="D76" s="15">
        <v>19</v>
      </c>
      <c r="E76" s="15">
        <v>20</v>
      </c>
      <c r="F76" s="15">
        <v>24</v>
      </c>
      <c r="G76" s="15">
        <v>24</v>
      </c>
      <c r="H76" s="15">
        <v>24</v>
      </c>
      <c r="I76" s="15">
        <v>24</v>
      </c>
      <c r="J76" s="15">
        <v>26</v>
      </c>
      <c r="K76" s="15">
        <v>19</v>
      </c>
      <c r="L76" s="15">
        <v>20</v>
      </c>
      <c r="M76" s="15">
        <v>22</v>
      </c>
      <c r="N76" s="15">
        <v>24</v>
      </c>
      <c r="O76" s="16">
        <v>24</v>
      </c>
      <c r="P76" s="16">
        <v>24</v>
      </c>
      <c r="Q76" s="16">
        <v>26</v>
      </c>
      <c r="R76" s="16">
        <v>19</v>
      </c>
      <c r="S76" s="16">
        <v>20</v>
      </c>
      <c r="T76" s="16">
        <v>26</v>
      </c>
      <c r="U76" s="16">
        <v>26</v>
      </c>
      <c r="V76" s="16">
        <v>26</v>
      </c>
      <c r="W76" s="16">
        <v>26</v>
      </c>
      <c r="X76" s="16">
        <v>26</v>
      </c>
      <c r="Y76" s="16">
        <v>19</v>
      </c>
      <c r="Z76" s="16">
        <v>20</v>
      </c>
      <c r="AA76" s="16">
        <v>24</v>
      </c>
      <c r="AB76" s="16">
        <v>26</v>
      </c>
      <c r="AC76" s="16">
        <v>26</v>
      </c>
      <c r="AD76" s="16">
        <v>26</v>
      </c>
      <c r="AE76" s="16">
        <v>26</v>
      </c>
      <c r="AF76" s="16">
        <v>19</v>
      </c>
      <c r="AG76" s="16">
        <v>20</v>
      </c>
      <c r="AH76" s="17"/>
      <c r="AI76" s="20">
        <f t="shared" si="6"/>
        <v>695</v>
      </c>
      <c r="AJ76" s="275">
        <f t="shared" ref="AJ76" si="7">SUM(AI76:AI87)</f>
        <v>7258</v>
      </c>
    </row>
    <row r="77" spans="2:36" ht="15.6" x14ac:dyDescent="0.3">
      <c r="B77" s="273"/>
      <c r="C77" s="25">
        <v>43647</v>
      </c>
      <c r="D77" s="12">
        <v>26</v>
      </c>
      <c r="E77" s="12">
        <v>26</v>
      </c>
      <c r="F77" s="12">
        <v>26</v>
      </c>
      <c r="G77" s="12">
        <v>26</v>
      </c>
      <c r="H77" s="12">
        <v>26</v>
      </c>
      <c r="I77" s="12">
        <v>19</v>
      </c>
      <c r="J77" s="12">
        <v>20</v>
      </c>
      <c r="K77" s="12">
        <v>26</v>
      </c>
      <c r="L77" s="12">
        <v>26</v>
      </c>
      <c r="M77" s="12">
        <v>26</v>
      </c>
      <c r="N77" s="12">
        <v>26</v>
      </c>
      <c r="O77" s="12">
        <v>26</v>
      </c>
      <c r="P77" s="12">
        <v>19</v>
      </c>
      <c r="Q77" s="12">
        <v>20</v>
      </c>
      <c r="R77" s="12">
        <v>24</v>
      </c>
      <c r="S77" s="12">
        <v>26</v>
      </c>
      <c r="T77" s="12">
        <v>26</v>
      </c>
      <c r="U77" s="12">
        <v>26</v>
      </c>
      <c r="V77" s="12">
        <v>26</v>
      </c>
      <c r="W77" s="12">
        <v>19</v>
      </c>
      <c r="X77" s="12">
        <v>20</v>
      </c>
      <c r="Y77" s="12">
        <v>26</v>
      </c>
      <c r="Z77" s="12">
        <v>26</v>
      </c>
      <c r="AA77" s="12">
        <v>26</v>
      </c>
      <c r="AB77" s="12">
        <v>26</v>
      </c>
      <c r="AC77" s="12">
        <v>26</v>
      </c>
      <c r="AD77" s="12">
        <v>19</v>
      </c>
      <c r="AE77" s="12">
        <v>20</v>
      </c>
      <c r="AF77" s="12">
        <v>26</v>
      </c>
      <c r="AG77" s="12">
        <v>26</v>
      </c>
      <c r="AH77" s="14">
        <v>24</v>
      </c>
      <c r="AI77" s="21">
        <f t="shared" si="6"/>
        <v>750</v>
      </c>
      <c r="AJ77" s="275"/>
    </row>
    <row r="78" spans="2:36" ht="15.6" x14ac:dyDescent="0.3">
      <c r="B78" s="273"/>
      <c r="C78" s="25">
        <v>43678</v>
      </c>
      <c r="D78" s="12">
        <v>26</v>
      </c>
      <c r="E78" s="12">
        <v>26</v>
      </c>
      <c r="F78" s="12">
        <v>21</v>
      </c>
      <c r="G78" s="12">
        <v>22</v>
      </c>
      <c r="H78" s="12">
        <v>26</v>
      </c>
      <c r="I78" s="12">
        <v>26</v>
      </c>
      <c r="J78" s="12">
        <v>26</v>
      </c>
      <c r="K78" s="12">
        <v>26</v>
      </c>
      <c r="L78" s="12">
        <v>26</v>
      </c>
      <c r="M78" s="12">
        <v>21</v>
      </c>
      <c r="N78" s="12">
        <v>22</v>
      </c>
      <c r="O78" s="12">
        <v>26</v>
      </c>
      <c r="P78" s="12">
        <v>26</v>
      </c>
      <c r="Q78" s="12">
        <v>24</v>
      </c>
      <c r="R78" s="12">
        <v>24</v>
      </c>
      <c r="S78" s="12">
        <v>26</v>
      </c>
      <c r="T78" s="12">
        <v>21</v>
      </c>
      <c r="U78" s="12">
        <v>22</v>
      </c>
      <c r="V78" s="12">
        <v>25</v>
      </c>
      <c r="W78" s="12">
        <v>26</v>
      </c>
      <c r="X78" s="12">
        <v>26</v>
      </c>
      <c r="Y78" s="12">
        <v>26</v>
      </c>
      <c r="Z78" s="12">
        <v>26</v>
      </c>
      <c r="AA78" s="12">
        <v>21</v>
      </c>
      <c r="AB78" s="12">
        <v>22</v>
      </c>
      <c r="AC78" s="12">
        <v>26</v>
      </c>
      <c r="AD78" s="12">
        <v>26</v>
      </c>
      <c r="AE78" s="12">
        <v>26</v>
      </c>
      <c r="AF78" s="12">
        <v>26</v>
      </c>
      <c r="AG78" s="12">
        <v>24</v>
      </c>
      <c r="AH78" s="14">
        <v>21</v>
      </c>
      <c r="AI78" s="21">
        <f t="shared" si="6"/>
        <v>758</v>
      </c>
      <c r="AJ78" s="275"/>
    </row>
    <row r="79" spans="2:36" ht="15.6" x14ac:dyDescent="0.3">
      <c r="B79" s="273"/>
      <c r="C79" s="25">
        <v>43709</v>
      </c>
      <c r="D79" s="12">
        <v>20</v>
      </c>
      <c r="E79" s="12">
        <v>26</v>
      </c>
      <c r="F79" s="12">
        <v>26</v>
      </c>
      <c r="G79" s="12">
        <v>26</v>
      </c>
      <c r="H79" s="12">
        <v>26</v>
      </c>
      <c r="I79" s="12">
        <v>26</v>
      </c>
      <c r="J79" s="12">
        <v>19</v>
      </c>
      <c r="K79" s="12">
        <v>20</v>
      </c>
      <c r="L79" s="12">
        <v>26</v>
      </c>
      <c r="M79" s="12">
        <v>26</v>
      </c>
      <c r="N79" s="12">
        <v>26</v>
      </c>
      <c r="O79" s="12">
        <v>26</v>
      </c>
      <c r="P79" s="12">
        <v>26</v>
      </c>
      <c r="Q79" s="12">
        <v>19</v>
      </c>
      <c r="R79" s="12">
        <v>20</v>
      </c>
      <c r="S79" s="12">
        <v>24</v>
      </c>
      <c r="T79" s="12">
        <v>22</v>
      </c>
      <c r="U79" s="12">
        <v>24</v>
      </c>
      <c r="V79" s="12">
        <v>24</v>
      </c>
      <c r="W79" s="12">
        <v>25</v>
      </c>
      <c r="X79" s="12">
        <v>18</v>
      </c>
      <c r="Y79" s="12">
        <v>20</v>
      </c>
      <c r="Z79" s="12">
        <v>24</v>
      </c>
      <c r="AA79" s="12">
        <v>24</v>
      </c>
      <c r="AB79" s="12">
        <v>24</v>
      </c>
      <c r="AC79" s="12">
        <v>24</v>
      </c>
      <c r="AD79" s="12">
        <v>26</v>
      </c>
      <c r="AE79" s="12">
        <v>18</v>
      </c>
      <c r="AF79" s="12">
        <v>20</v>
      </c>
      <c r="AG79" s="12">
        <v>24</v>
      </c>
      <c r="AH79" s="13"/>
      <c r="AI79" s="21">
        <f t="shared" si="6"/>
        <v>699</v>
      </c>
      <c r="AJ79" s="275"/>
    </row>
    <row r="80" spans="2:36" ht="15.6" x14ac:dyDescent="0.3">
      <c r="B80" s="273"/>
      <c r="C80" s="25">
        <v>43739</v>
      </c>
      <c r="D80" s="12">
        <v>24</v>
      </c>
      <c r="E80" s="12">
        <v>24</v>
      </c>
      <c r="F80" s="12">
        <v>24</v>
      </c>
      <c r="G80" s="12">
        <v>26</v>
      </c>
      <c r="H80" s="12">
        <v>18</v>
      </c>
      <c r="I80" s="12">
        <v>20</v>
      </c>
      <c r="J80" s="12">
        <v>24</v>
      </c>
      <c r="K80" s="12">
        <v>24</v>
      </c>
      <c r="L80" s="12">
        <v>22</v>
      </c>
      <c r="M80" s="12">
        <v>24</v>
      </c>
      <c r="N80" s="12">
        <v>26</v>
      </c>
      <c r="O80" s="12">
        <v>18</v>
      </c>
      <c r="P80" s="12">
        <v>20</v>
      </c>
      <c r="Q80" s="12">
        <v>24</v>
      </c>
      <c r="R80" s="12">
        <v>24</v>
      </c>
      <c r="S80" s="12">
        <v>24</v>
      </c>
      <c r="T80" s="12">
        <v>24</v>
      </c>
      <c r="U80" s="12">
        <v>26</v>
      </c>
      <c r="V80" s="12">
        <v>18</v>
      </c>
      <c r="W80" s="12">
        <v>20</v>
      </c>
      <c r="X80" s="12">
        <v>24</v>
      </c>
      <c r="Y80" s="12">
        <v>24</v>
      </c>
      <c r="Z80" s="12">
        <v>24</v>
      </c>
      <c r="AA80" s="12">
        <v>24</v>
      </c>
      <c r="AB80" s="12">
        <v>26</v>
      </c>
      <c r="AC80" s="12">
        <v>18</v>
      </c>
      <c r="AD80" s="12">
        <v>20</v>
      </c>
      <c r="AE80" s="12">
        <v>24</v>
      </c>
      <c r="AF80" s="12">
        <v>24</v>
      </c>
      <c r="AG80" s="12">
        <v>24</v>
      </c>
      <c r="AH80" s="14">
        <v>26</v>
      </c>
      <c r="AI80" s="21">
        <f t="shared" si="6"/>
        <v>712</v>
      </c>
      <c r="AJ80" s="275"/>
    </row>
    <row r="81" spans="2:36" ht="15.6" x14ac:dyDescent="0.3">
      <c r="B81" s="273"/>
      <c r="C81" s="25">
        <v>43770</v>
      </c>
      <c r="D81" s="12">
        <v>20</v>
      </c>
      <c r="E81" s="12">
        <v>18</v>
      </c>
      <c r="F81" s="12">
        <v>20</v>
      </c>
      <c r="G81" s="12">
        <v>24</v>
      </c>
      <c r="H81" s="12">
        <v>24</v>
      </c>
      <c r="I81" s="12">
        <v>24</v>
      </c>
      <c r="J81" s="12">
        <v>24</v>
      </c>
      <c r="K81" s="12">
        <v>26</v>
      </c>
      <c r="L81" s="12">
        <v>18</v>
      </c>
      <c r="M81" s="12">
        <v>20</v>
      </c>
      <c r="N81" s="12">
        <v>24</v>
      </c>
      <c r="O81" s="12">
        <v>24</v>
      </c>
      <c r="P81" s="12">
        <v>24</v>
      </c>
      <c r="Q81" s="12">
        <v>24</v>
      </c>
      <c r="R81" s="12">
        <v>26</v>
      </c>
      <c r="S81" s="12">
        <v>18</v>
      </c>
      <c r="T81" s="12">
        <v>20</v>
      </c>
      <c r="U81" s="12">
        <v>24</v>
      </c>
      <c r="V81" s="12">
        <v>24</v>
      </c>
      <c r="W81" s="12">
        <v>24</v>
      </c>
      <c r="X81" s="12">
        <v>24</v>
      </c>
      <c r="Y81" s="12">
        <v>26</v>
      </c>
      <c r="Z81" s="12">
        <v>18</v>
      </c>
      <c r="AA81" s="12">
        <v>20</v>
      </c>
      <c r="AB81" s="12">
        <v>24</v>
      </c>
      <c r="AC81" s="12">
        <v>24</v>
      </c>
      <c r="AD81" s="12">
        <v>24</v>
      </c>
      <c r="AE81" s="12">
        <v>24</v>
      </c>
      <c r="AF81" s="12">
        <v>26</v>
      </c>
      <c r="AG81" s="12">
        <v>18</v>
      </c>
      <c r="AH81" s="13"/>
      <c r="AI81" s="21">
        <f t="shared" si="6"/>
        <v>678</v>
      </c>
      <c r="AJ81" s="275"/>
    </row>
    <row r="82" spans="2:36" ht="15.6" x14ac:dyDescent="0.3">
      <c r="B82" s="273"/>
      <c r="C82" s="25">
        <v>43800</v>
      </c>
      <c r="D82" s="12">
        <v>20</v>
      </c>
      <c r="E82" s="12">
        <v>24</v>
      </c>
      <c r="F82" s="12">
        <v>24</v>
      </c>
      <c r="G82" s="12">
        <v>24</v>
      </c>
      <c r="H82" s="12">
        <v>25</v>
      </c>
      <c r="I82" s="12">
        <v>20</v>
      </c>
      <c r="J82" s="12">
        <v>18</v>
      </c>
      <c r="K82" s="12">
        <v>18</v>
      </c>
      <c r="L82" s="12">
        <v>22</v>
      </c>
      <c r="M82" s="12">
        <v>24</v>
      </c>
      <c r="N82" s="12">
        <v>24</v>
      </c>
      <c r="O82" s="12">
        <v>24</v>
      </c>
      <c r="P82" s="12">
        <v>26</v>
      </c>
      <c r="Q82" s="12">
        <v>18</v>
      </c>
      <c r="R82" s="12">
        <v>20</v>
      </c>
      <c r="S82" s="12">
        <v>24</v>
      </c>
      <c r="T82" s="12">
        <v>24</v>
      </c>
      <c r="U82" s="12">
        <v>24</v>
      </c>
      <c r="V82" s="12">
        <v>24</v>
      </c>
      <c r="W82" s="12">
        <v>23</v>
      </c>
      <c r="X82" s="12">
        <v>18</v>
      </c>
      <c r="Y82" s="12">
        <v>22</v>
      </c>
      <c r="Z82" s="12">
        <v>22</v>
      </c>
      <c r="AA82" s="12">
        <v>19</v>
      </c>
      <c r="AB82" s="12">
        <v>24</v>
      </c>
      <c r="AC82" s="12">
        <v>22</v>
      </c>
      <c r="AD82" s="12">
        <v>24</v>
      </c>
      <c r="AE82" s="12">
        <v>18</v>
      </c>
      <c r="AF82" s="12">
        <v>20</v>
      </c>
      <c r="AG82" s="12">
        <v>22</v>
      </c>
      <c r="AH82" s="14">
        <v>19</v>
      </c>
      <c r="AI82" s="21">
        <f t="shared" si="6"/>
        <v>680</v>
      </c>
      <c r="AJ82" s="275"/>
    </row>
    <row r="83" spans="2:36" ht="15.6" x14ac:dyDescent="0.3">
      <c r="B83" s="273"/>
      <c r="C83" s="25">
        <v>43831</v>
      </c>
      <c r="D83" s="12">
        <v>24</v>
      </c>
      <c r="E83" s="12">
        <v>22</v>
      </c>
      <c r="F83" s="12">
        <v>24</v>
      </c>
      <c r="G83" s="12">
        <v>18</v>
      </c>
      <c r="H83" s="12">
        <v>15</v>
      </c>
      <c r="I83" s="12">
        <v>24</v>
      </c>
      <c r="J83" s="12">
        <v>24</v>
      </c>
      <c r="K83" s="12">
        <v>24</v>
      </c>
      <c r="L83" s="12">
        <v>24</v>
      </c>
      <c r="M83" s="12">
        <v>26</v>
      </c>
      <c r="N83" s="12">
        <v>18</v>
      </c>
      <c r="O83" s="12">
        <v>20</v>
      </c>
      <c r="P83" s="12">
        <v>24</v>
      </c>
      <c r="Q83" s="12">
        <v>24</v>
      </c>
      <c r="R83" s="12">
        <v>24</v>
      </c>
      <c r="S83" s="12">
        <v>24</v>
      </c>
      <c r="T83" s="12">
        <v>26</v>
      </c>
      <c r="U83" s="12">
        <v>18</v>
      </c>
      <c r="V83" s="12">
        <v>20</v>
      </c>
      <c r="W83" s="12">
        <v>24</v>
      </c>
      <c r="X83" s="12">
        <v>24</v>
      </c>
      <c r="Y83" s="12">
        <v>24</v>
      </c>
      <c r="Z83" s="12">
        <v>24</v>
      </c>
      <c r="AA83" s="12">
        <v>26</v>
      </c>
      <c r="AB83" s="12">
        <v>18</v>
      </c>
      <c r="AC83" s="12">
        <v>25</v>
      </c>
      <c r="AD83" s="12">
        <v>29</v>
      </c>
      <c r="AE83" s="12">
        <v>28</v>
      </c>
      <c r="AF83" s="12">
        <v>28</v>
      </c>
      <c r="AG83" s="12">
        <v>24</v>
      </c>
      <c r="AH83" s="14">
        <v>26</v>
      </c>
      <c r="AI83" s="21">
        <f t="shared" si="6"/>
        <v>723</v>
      </c>
      <c r="AJ83" s="275"/>
    </row>
    <row r="84" spans="2:36" ht="15.6" x14ac:dyDescent="0.3">
      <c r="B84" s="273"/>
      <c r="C84" s="25">
        <v>43862</v>
      </c>
      <c r="D84" s="12">
        <v>18</v>
      </c>
      <c r="E84" s="12">
        <v>20</v>
      </c>
      <c r="F84" s="12">
        <v>24</v>
      </c>
      <c r="G84" s="12">
        <v>24</v>
      </c>
      <c r="H84" s="12">
        <v>24</v>
      </c>
      <c r="I84" s="12">
        <v>24</v>
      </c>
      <c r="J84" s="12">
        <v>26</v>
      </c>
      <c r="K84" s="12">
        <v>18</v>
      </c>
      <c r="L84" s="12">
        <v>20</v>
      </c>
      <c r="M84" s="12">
        <v>24</v>
      </c>
      <c r="N84" s="12">
        <v>24</v>
      </c>
      <c r="O84" s="12">
        <v>24</v>
      </c>
      <c r="P84" s="12">
        <v>24</v>
      </c>
      <c r="Q84" s="12">
        <v>26</v>
      </c>
      <c r="R84" s="12">
        <v>18</v>
      </c>
      <c r="S84" s="12">
        <v>21</v>
      </c>
      <c r="T84" s="12">
        <v>24</v>
      </c>
      <c r="U84" s="12">
        <v>24</v>
      </c>
      <c r="V84" s="12">
        <v>24</v>
      </c>
      <c r="W84" s="12">
        <v>24</v>
      </c>
      <c r="X84" s="12">
        <v>26</v>
      </c>
      <c r="Y84" s="12">
        <v>18</v>
      </c>
      <c r="Z84" s="12">
        <v>20</v>
      </c>
      <c r="AA84" s="12">
        <v>24</v>
      </c>
      <c r="AB84" s="12">
        <v>24</v>
      </c>
      <c r="AC84" s="12">
        <v>24</v>
      </c>
      <c r="AD84" s="12">
        <v>24</v>
      </c>
      <c r="AE84" s="12">
        <v>26</v>
      </c>
      <c r="AF84" s="12">
        <v>18</v>
      </c>
      <c r="AG84" s="12"/>
      <c r="AH84" s="13"/>
      <c r="AI84" s="21">
        <f t="shared" si="6"/>
        <v>659</v>
      </c>
      <c r="AJ84" s="275"/>
    </row>
    <row r="85" spans="2:36" ht="15.6" x14ac:dyDescent="0.3">
      <c r="B85" s="273"/>
      <c r="C85" s="25">
        <v>43891</v>
      </c>
      <c r="D85" s="12">
        <v>20</v>
      </c>
      <c r="E85" s="12">
        <v>24</v>
      </c>
      <c r="F85" s="12">
        <v>24</v>
      </c>
      <c r="G85" s="12">
        <v>24</v>
      </c>
      <c r="H85" s="12">
        <v>24</v>
      </c>
      <c r="I85" s="12">
        <v>26</v>
      </c>
      <c r="J85" s="12">
        <v>18</v>
      </c>
      <c r="K85" s="12">
        <v>20</v>
      </c>
      <c r="L85" s="12">
        <v>24</v>
      </c>
      <c r="M85" s="12">
        <v>24</v>
      </c>
      <c r="N85" s="12">
        <v>24</v>
      </c>
      <c r="O85" s="12">
        <v>24</v>
      </c>
      <c r="P85" s="12">
        <v>26</v>
      </c>
      <c r="Q85" s="12">
        <v>18</v>
      </c>
      <c r="R85" s="12">
        <v>20</v>
      </c>
      <c r="S85" s="12">
        <v>24</v>
      </c>
      <c r="T85" s="12">
        <v>24</v>
      </c>
      <c r="U85" s="12">
        <v>14</v>
      </c>
      <c r="V85" s="12">
        <v>12</v>
      </c>
      <c r="W85" s="12">
        <v>16</v>
      </c>
      <c r="X85" s="12">
        <v>13</v>
      </c>
      <c r="Y85" s="12">
        <v>15</v>
      </c>
      <c r="Z85" s="12">
        <v>11</v>
      </c>
      <c r="AA85" s="12">
        <v>10</v>
      </c>
      <c r="AB85" s="12">
        <v>10</v>
      </c>
      <c r="AC85" s="12">
        <v>10</v>
      </c>
      <c r="AD85" s="12">
        <v>10</v>
      </c>
      <c r="AE85" s="12">
        <v>8</v>
      </c>
      <c r="AF85" s="12">
        <v>6</v>
      </c>
      <c r="AG85" s="12">
        <v>6</v>
      </c>
      <c r="AH85" s="14">
        <v>6</v>
      </c>
      <c r="AI85" s="21">
        <f t="shared" si="6"/>
        <v>535</v>
      </c>
      <c r="AJ85" s="275"/>
    </row>
    <row r="86" spans="2:36" ht="15.6" x14ac:dyDescent="0.3">
      <c r="B86" s="273"/>
      <c r="C86" s="25">
        <v>43922</v>
      </c>
      <c r="D86" s="12">
        <v>6</v>
      </c>
      <c r="E86" s="12">
        <v>6</v>
      </c>
      <c r="F86" s="12">
        <v>6</v>
      </c>
      <c r="G86" s="12">
        <v>6</v>
      </c>
      <c r="H86" s="12">
        <v>6</v>
      </c>
      <c r="I86" s="12">
        <v>6</v>
      </c>
      <c r="J86" s="12">
        <v>6</v>
      </c>
      <c r="K86" s="12">
        <v>6</v>
      </c>
      <c r="L86" s="12">
        <v>6</v>
      </c>
      <c r="M86" s="12">
        <v>6</v>
      </c>
      <c r="N86" s="12">
        <v>6</v>
      </c>
      <c r="O86" s="12">
        <v>6</v>
      </c>
      <c r="P86" s="12">
        <v>6</v>
      </c>
      <c r="Q86" s="12">
        <v>6</v>
      </c>
      <c r="R86" s="12">
        <v>6</v>
      </c>
      <c r="S86" s="12">
        <v>6</v>
      </c>
      <c r="T86" s="12">
        <v>6</v>
      </c>
      <c r="U86" s="12">
        <v>6</v>
      </c>
      <c r="V86" s="12">
        <v>6</v>
      </c>
      <c r="W86" s="12">
        <v>6</v>
      </c>
      <c r="X86" s="12">
        <v>6</v>
      </c>
      <c r="Y86" s="12">
        <v>6</v>
      </c>
      <c r="Z86" s="12">
        <v>6</v>
      </c>
      <c r="AA86" s="12">
        <v>6</v>
      </c>
      <c r="AB86" s="12">
        <v>6</v>
      </c>
      <c r="AC86" s="12">
        <v>6</v>
      </c>
      <c r="AD86" s="12">
        <v>6</v>
      </c>
      <c r="AE86" s="12">
        <v>6</v>
      </c>
      <c r="AF86" s="12">
        <v>6</v>
      </c>
      <c r="AG86" s="12">
        <v>7</v>
      </c>
      <c r="AH86" s="13"/>
      <c r="AI86" s="21">
        <f t="shared" si="6"/>
        <v>181</v>
      </c>
      <c r="AJ86" s="275"/>
    </row>
    <row r="87" spans="2:36" ht="16.2" thickBot="1" x14ac:dyDescent="0.35">
      <c r="B87" s="274"/>
      <c r="C87" s="26">
        <v>43952</v>
      </c>
      <c r="D87" s="18">
        <v>6</v>
      </c>
      <c r="E87" s="18">
        <v>6</v>
      </c>
      <c r="F87" s="18">
        <v>6</v>
      </c>
      <c r="G87" s="18">
        <v>6</v>
      </c>
      <c r="H87" s="18">
        <v>6</v>
      </c>
      <c r="I87" s="18">
        <v>6</v>
      </c>
      <c r="J87" s="18">
        <v>6</v>
      </c>
      <c r="K87" s="18">
        <v>6</v>
      </c>
      <c r="L87" s="18">
        <v>6</v>
      </c>
      <c r="M87" s="18">
        <v>6</v>
      </c>
      <c r="N87" s="18">
        <v>6</v>
      </c>
      <c r="O87" s="18">
        <v>6</v>
      </c>
      <c r="P87" s="18">
        <v>6</v>
      </c>
      <c r="Q87" s="18">
        <v>6</v>
      </c>
      <c r="R87" s="18">
        <v>6</v>
      </c>
      <c r="S87" s="18">
        <v>6</v>
      </c>
      <c r="T87" s="18">
        <v>7</v>
      </c>
      <c r="U87" s="18">
        <v>6</v>
      </c>
      <c r="V87" s="18">
        <v>6</v>
      </c>
      <c r="W87" s="18">
        <v>6</v>
      </c>
      <c r="X87" s="18">
        <v>7</v>
      </c>
      <c r="Y87" s="18">
        <v>6</v>
      </c>
      <c r="Z87" s="18">
        <v>6</v>
      </c>
      <c r="AA87" s="18">
        <v>6</v>
      </c>
      <c r="AB87" s="18">
        <v>6</v>
      </c>
      <c r="AC87" s="18">
        <v>6</v>
      </c>
      <c r="AD87" s="18">
        <v>6</v>
      </c>
      <c r="AE87" s="18">
        <v>6</v>
      </c>
      <c r="AF87" s="18">
        <v>6</v>
      </c>
      <c r="AG87" s="18">
        <v>6</v>
      </c>
      <c r="AH87" s="19">
        <v>6</v>
      </c>
      <c r="AI87" s="22">
        <f t="shared" si="6"/>
        <v>188</v>
      </c>
      <c r="AJ87" s="275"/>
    </row>
    <row r="88" spans="2:36" ht="15.6" x14ac:dyDescent="0.3">
      <c r="B88" s="272">
        <v>8</v>
      </c>
      <c r="C88" s="24">
        <v>43983</v>
      </c>
      <c r="D88" s="15">
        <v>6</v>
      </c>
      <c r="E88" s="15">
        <v>6</v>
      </c>
      <c r="F88" s="15">
        <v>6</v>
      </c>
      <c r="G88" s="15">
        <v>6</v>
      </c>
      <c r="H88" s="15">
        <v>6</v>
      </c>
      <c r="I88" s="15">
        <v>6</v>
      </c>
      <c r="J88" s="15">
        <v>6</v>
      </c>
      <c r="K88" s="15">
        <v>6</v>
      </c>
      <c r="L88" s="15">
        <v>6</v>
      </c>
      <c r="M88" s="15">
        <v>8</v>
      </c>
      <c r="N88" s="15">
        <v>6</v>
      </c>
      <c r="O88" s="16">
        <v>6</v>
      </c>
      <c r="P88" s="16">
        <v>6</v>
      </c>
      <c r="Q88" s="16">
        <v>6</v>
      </c>
      <c r="R88" s="16">
        <v>6</v>
      </c>
      <c r="S88" s="16">
        <v>6</v>
      </c>
      <c r="T88" s="16">
        <v>6</v>
      </c>
      <c r="U88" s="16">
        <v>6</v>
      </c>
      <c r="V88" s="16">
        <v>6</v>
      </c>
      <c r="W88" s="16">
        <v>6</v>
      </c>
      <c r="X88" s="16">
        <v>6</v>
      </c>
      <c r="Y88" s="16">
        <v>11</v>
      </c>
      <c r="Z88" s="16">
        <v>12</v>
      </c>
      <c r="AA88" s="16">
        <v>12</v>
      </c>
      <c r="AB88" s="16">
        <v>12</v>
      </c>
      <c r="AC88" s="16">
        <v>12</v>
      </c>
      <c r="AD88" s="16">
        <v>10</v>
      </c>
      <c r="AE88" s="16">
        <v>12</v>
      </c>
      <c r="AF88" s="16">
        <v>12</v>
      </c>
      <c r="AG88" s="16">
        <v>12</v>
      </c>
      <c r="AH88" s="17"/>
      <c r="AI88" s="20">
        <f t="shared" si="6"/>
        <v>233</v>
      </c>
      <c r="AJ88" s="275">
        <f t="shared" ref="AJ88" si="8">SUM(AI88:AI99)</f>
        <v>6254</v>
      </c>
    </row>
    <row r="89" spans="2:36" ht="15.6" x14ac:dyDescent="0.3">
      <c r="B89" s="273"/>
      <c r="C89" s="25">
        <v>44013</v>
      </c>
      <c r="D89" s="12">
        <v>12</v>
      </c>
      <c r="E89" s="12">
        <v>14</v>
      </c>
      <c r="F89" s="12">
        <v>12</v>
      </c>
      <c r="G89" s="12">
        <v>10</v>
      </c>
      <c r="H89" s="12">
        <v>12</v>
      </c>
      <c r="I89" s="12">
        <v>12</v>
      </c>
      <c r="J89" s="12">
        <v>12</v>
      </c>
      <c r="K89" s="12">
        <v>12</v>
      </c>
      <c r="L89" s="12">
        <v>12</v>
      </c>
      <c r="M89" s="12">
        <v>12</v>
      </c>
      <c r="N89" s="12">
        <v>10</v>
      </c>
      <c r="O89" s="12">
        <v>12</v>
      </c>
      <c r="P89" s="12">
        <v>13</v>
      </c>
      <c r="Q89" s="12">
        <v>14</v>
      </c>
      <c r="R89" s="12">
        <v>16</v>
      </c>
      <c r="S89" s="12">
        <v>16</v>
      </c>
      <c r="T89" s="12">
        <v>16</v>
      </c>
      <c r="U89" s="12">
        <v>14</v>
      </c>
      <c r="V89" s="12">
        <v>16</v>
      </c>
      <c r="W89" s="12">
        <v>16</v>
      </c>
      <c r="X89" s="12">
        <v>16</v>
      </c>
      <c r="Y89" s="12">
        <v>16</v>
      </c>
      <c r="Z89" s="12">
        <v>16</v>
      </c>
      <c r="AA89" s="12">
        <v>16</v>
      </c>
      <c r="AB89" s="12">
        <v>14</v>
      </c>
      <c r="AC89" s="12">
        <v>16</v>
      </c>
      <c r="AD89" s="12">
        <v>16</v>
      </c>
      <c r="AE89" s="12">
        <v>16</v>
      </c>
      <c r="AF89" s="12">
        <v>16</v>
      </c>
      <c r="AG89" s="12">
        <v>16</v>
      </c>
      <c r="AH89" s="14">
        <v>16</v>
      </c>
      <c r="AI89" s="21">
        <f t="shared" si="6"/>
        <v>437</v>
      </c>
      <c r="AJ89" s="275"/>
    </row>
    <row r="90" spans="2:36" ht="15.6" x14ac:dyDescent="0.3">
      <c r="B90" s="273"/>
      <c r="C90" s="25">
        <v>44044</v>
      </c>
      <c r="D90" s="12">
        <v>14</v>
      </c>
      <c r="E90" s="12">
        <v>16</v>
      </c>
      <c r="F90" s="12">
        <v>16</v>
      </c>
      <c r="G90" s="12">
        <v>16</v>
      </c>
      <c r="H90" s="12">
        <v>16</v>
      </c>
      <c r="I90" s="12">
        <v>16</v>
      </c>
      <c r="J90" s="12">
        <v>16</v>
      </c>
      <c r="K90" s="12">
        <v>14</v>
      </c>
      <c r="L90" s="12">
        <v>16</v>
      </c>
      <c r="M90" s="12">
        <v>16</v>
      </c>
      <c r="N90" s="12">
        <v>16</v>
      </c>
      <c r="O90" s="12">
        <v>16</v>
      </c>
      <c r="P90" s="12">
        <v>16</v>
      </c>
      <c r="Q90" s="12">
        <v>16</v>
      </c>
      <c r="R90" s="12">
        <v>14</v>
      </c>
      <c r="S90" s="12">
        <v>16</v>
      </c>
      <c r="T90" s="12">
        <v>16</v>
      </c>
      <c r="U90" s="12">
        <v>16</v>
      </c>
      <c r="V90" s="12">
        <v>16</v>
      </c>
      <c r="W90" s="12">
        <v>16</v>
      </c>
      <c r="X90" s="12">
        <v>16</v>
      </c>
      <c r="Y90" s="12">
        <v>14</v>
      </c>
      <c r="Z90" s="12">
        <v>16</v>
      </c>
      <c r="AA90" s="12">
        <v>16</v>
      </c>
      <c r="AB90" s="12">
        <v>16</v>
      </c>
      <c r="AC90" s="12">
        <v>16</v>
      </c>
      <c r="AD90" s="12">
        <v>16</v>
      </c>
      <c r="AE90" s="12">
        <v>16</v>
      </c>
      <c r="AF90" s="12">
        <v>14</v>
      </c>
      <c r="AG90" s="12">
        <v>16</v>
      </c>
      <c r="AH90" s="14">
        <v>18</v>
      </c>
      <c r="AI90" s="21">
        <f t="shared" si="6"/>
        <v>488</v>
      </c>
      <c r="AJ90" s="275"/>
    </row>
    <row r="91" spans="2:36" ht="15.6" x14ac:dyDescent="0.3">
      <c r="B91" s="273"/>
      <c r="C91" s="25">
        <v>44075</v>
      </c>
      <c r="D91" s="12">
        <v>18</v>
      </c>
      <c r="E91" s="12">
        <v>18</v>
      </c>
      <c r="F91" s="12">
        <v>18</v>
      </c>
      <c r="G91" s="12">
        <v>18</v>
      </c>
      <c r="H91" s="12">
        <v>18</v>
      </c>
      <c r="I91" s="12">
        <v>18</v>
      </c>
      <c r="J91" s="12">
        <v>18</v>
      </c>
      <c r="K91" s="12">
        <v>18</v>
      </c>
      <c r="L91" s="12">
        <v>18</v>
      </c>
      <c r="M91" s="12">
        <v>18</v>
      </c>
      <c r="N91" s="12">
        <v>18</v>
      </c>
      <c r="O91" s="12">
        <v>18</v>
      </c>
      <c r="P91" s="12">
        <v>18</v>
      </c>
      <c r="Q91" s="12">
        <v>18</v>
      </c>
      <c r="R91" s="12">
        <v>18</v>
      </c>
      <c r="S91" s="12">
        <v>18</v>
      </c>
      <c r="T91" s="12">
        <v>18</v>
      </c>
      <c r="U91" s="12">
        <v>18</v>
      </c>
      <c r="V91" s="12">
        <v>18</v>
      </c>
      <c r="W91" s="12">
        <v>18</v>
      </c>
      <c r="X91" s="12">
        <v>18</v>
      </c>
      <c r="Y91" s="12">
        <v>18</v>
      </c>
      <c r="Z91" s="12">
        <v>18</v>
      </c>
      <c r="AA91" s="12">
        <v>18</v>
      </c>
      <c r="AB91" s="12">
        <v>18</v>
      </c>
      <c r="AC91" s="12">
        <v>18</v>
      </c>
      <c r="AD91" s="12">
        <v>18</v>
      </c>
      <c r="AE91" s="12">
        <v>18</v>
      </c>
      <c r="AF91" s="12">
        <v>18</v>
      </c>
      <c r="AG91" s="12">
        <v>18</v>
      </c>
      <c r="AH91" s="13"/>
      <c r="AI91" s="21">
        <f t="shared" si="6"/>
        <v>540</v>
      </c>
      <c r="AJ91" s="275"/>
    </row>
    <row r="92" spans="2:36" ht="15.6" x14ac:dyDescent="0.3">
      <c r="B92" s="273"/>
      <c r="C92" s="25">
        <v>44105</v>
      </c>
      <c r="D92" s="12">
        <v>18</v>
      </c>
      <c r="E92" s="12">
        <v>18</v>
      </c>
      <c r="F92" s="12">
        <v>18</v>
      </c>
      <c r="G92" s="12">
        <v>18</v>
      </c>
      <c r="H92" s="12">
        <v>18</v>
      </c>
      <c r="I92" s="12">
        <v>18</v>
      </c>
      <c r="J92" s="12">
        <v>18</v>
      </c>
      <c r="K92" s="12">
        <v>18</v>
      </c>
      <c r="L92" s="12">
        <v>18</v>
      </c>
      <c r="M92" s="12">
        <v>18</v>
      </c>
      <c r="N92" s="12">
        <v>16</v>
      </c>
      <c r="O92" s="12">
        <v>18</v>
      </c>
      <c r="P92" s="12">
        <v>18</v>
      </c>
      <c r="Q92" s="12">
        <v>18</v>
      </c>
      <c r="R92" s="12">
        <v>18</v>
      </c>
      <c r="S92" s="12">
        <v>18</v>
      </c>
      <c r="T92" s="12">
        <v>18</v>
      </c>
      <c r="U92" s="12">
        <v>18</v>
      </c>
      <c r="V92" s="12">
        <v>18</v>
      </c>
      <c r="W92" s="12">
        <v>18</v>
      </c>
      <c r="X92" s="12">
        <v>18</v>
      </c>
      <c r="Y92" s="12">
        <v>18</v>
      </c>
      <c r="Z92" s="12">
        <v>18</v>
      </c>
      <c r="AA92" s="12">
        <v>18</v>
      </c>
      <c r="AB92" s="12">
        <v>18</v>
      </c>
      <c r="AC92" s="12">
        <v>18</v>
      </c>
      <c r="AD92" s="12">
        <v>18</v>
      </c>
      <c r="AE92" s="12">
        <v>18</v>
      </c>
      <c r="AF92" s="12">
        <v>18</v>
      </c>
      <c r="AG92" s="12">
        <v>18</v>
      </c>
      <c r="AH92" s="14">
        <v>18</v>
      </c>
      <c r="AI92" s="21">
        <f t="shared" si="6"/>
        <v>556</v>
      </c>
      <c r="AJ92" s="275"/>
    </row>
    <row r="93" spans="2:36" ht="15.6" x14ac:dyDescent="0.3">
      <c r="B93" s="273"/>
      <c r="C93" s="25">
        <v>44136</v>
      </c>
      <c r="D93" s="12">
        <v>18</v>
      </c>
      <c r="E93" s="12">
        <v>17</v>
      </c>
      <c r="F93" s="12">
        <v>18</v>
      </c>
      <c r="G93" s="12">
        <v>18</v>
      </c>
      <c r="H93" s="12">
        <v>18</v>
      </c>
      <c r="I93" s="12">
        <v>18</v>
      </c>
      <c r="J93" s="12">
        <v>18</v>
      </c>
      <c r="K93" s="12">
        <v>18</v>
      </c>
      <c r="L93" s="12">
        <v>18</v>
      </c>
      <c r="M93" s="12">
        <v>18</v>
      </c>
      <c r="N93" s="12">
        <v>16</v>
      </c>
      <c r="O93" s="12">
        <v>18</v>
      </c>
      <c r="P93" s="12">
        <v>18</v>
      </c>
      <c r="Q93" s="12">
        <v>18</v>
      </c>
      <c r="R93" s="12">
        <v>18</v>
      </c>
      <c r="S93" s="12">
        <v>18</v>
      </c>
      <c r="T93" s="12">
        <v>18</v>
      </c>
      <c r="U93" s="12">
        <v>18</v>
      </c>
      <c r="V93" s="12">
        <v>18</v>
      </c>
      <c r="W93" s="12">
        <v>18</v>
      </c>
      <c r="X93" s="12">
        <v>18</v>
      </c>
      <c r="Y93" s="12">
        <v>18</v>
      </c>
      <c r="Z93" s="12">
        <v>18</v>
      </c>
      <c r="AA93" s="12">
        <v>18</v>
      </c>
      <c r="AB93" s="12">
        <v>18</v>
      </c>
      <c r="AC93" s="12">
        <v>18</v>
      </c>
      <c r="AD93" s="12">
        <v>18</v>
      </c>
      <c r="AE93" s="12">
        <v>18</v>
      </c>
      <c r="AF93" s="12">
        <v>18</v>
      </c>
      <c r="AG93" s="12">
        <v>18</v>
      </c>
      <c r="AH93" s="13"/>
      <c r="AI93" s="21">
        <f t="shared" si="6"/>
        <v>537</v>
      </c>
      <c r="AJ93" s="275"/>
    </row>
    <row r="94" spans="2:36" ht="15.6" x14ac:dyDescent="0.3">
      <c r="B94" s="273"/>
      <c r="C94" s="25">
        <v>44166</v>
      </c>
      <c r="D94" s="12">
        <v>18</v>
      </c>
      <c r="E94" s="12">
        <v>18</v>
      </c>
      <c r="F94" s="12">
        <v>18</v>
      </c>
      <c r="G94" s="12">
        <v>18</v>
      </c>
      <c r="H94" s="12">
        <v>18</v>
      </c>
      <c r="I94" s="12">
        <v>17</v>
      </c>
      <c r="J94" s="12">
        <v>17</v>
      </c>
      <c r="K94" s="12">
        <v>18</v>
      </c>
      <c r="L94" s="12">
        <v>18</v>
      </c>
      <c r="M94" s="12">
        <v>18</v>
      </c>
      <c r="N94" s="12">
        <v>18</v>
      </c>
      <c r="O94" s="12">
        <v>18</v>
      </c>
      <c r="P94" s="12">
        <v>18</v>
      </c>
      <c r="Q94" s="12">
        <v>18</v>
      </c>
      <c r="R94" s="12">
        <v>18</v>
      </c>
      <c r="S94" s="12">
        <v>18</v>
      </c>
      <c r="T94" s="12">
        <v>18</v>
      </c>
      <c r="U94" s="12">
        <v>18</v>
      </c>
      <c r="V94" s="12">
        <v>18</v>
      </c>
      <c r="W94" s="12">
        <v>18</v>
      </c>
      <c r="X94" s="12">
        <v>18</v>
      </c>
      <c r="Y94" s="12">
        <v>18</v>
      </c>
      <c r="Z94" s="12">
        <v>18</v>
      </c>
      <c r="AA94" s="12">
        <v>17</v>
      </c>
      <c r="AB94" s="12">
        <v>17</v>
      </c>
      <c r="AC94" s="12">
        <v>18</v>
      </c>
      <c r="AD94" s="12">
        <v>18</v>
      </c>
      <c r="AE94" s="12">
        <v>18</v>
      </c>
      <c r="AF94" s="12">
        <v>18</v>
      </c>
      <c r="AG94" s="12">
        <v>18</v>
      </c>
      <c r="AH94" s="14">
        <v>17</v>
      </c>
      <c r="AI94" s="21">
        <f t="shared" si="6"/>
        <v>553</v>
      </c>
      <c r="AJ94" s="275"/>
    </row>
    <row r="95" spans="2:36" ht="15.6" x14ac:dyDescent="0.3">
      <c r="B95" s="273"/>
      <c r="C95" s="25">
        <v>44197</v>
      </c>
      <c r="D95" s="12">
        <v>17</v>
      </c>
      <c r="E95" s="12">
        <v>18</v>
      </c>
      <c r="F95" s="12">
        <v>18</v>
      </c>
      <c r="G95" s="12">
        <v>18</v>
      </c>
      <c r="H95" s="12">
        <v>17</v>
      </c>
      <c r="I95" s="12">
        <v>17</v>
      </c>
      <c r="J95" s="12">
        <v>18</v>
      </c>
      <c r="K95" s="12">
        <v>16</v>
      </c>
      <c r="L95" s="12">
        <v>1</v>
      </c>
      <c r="M95" s="12">
        <v>9</v>
      </c>
      <c r="N95" s="12">
        <v>18</v>
      </c>
      <c r="O95" s="12">
        <v>18</v>
      </c>
      <c r="P95" s="12">
        <v>18</v>
      </c>
      <c r="Q95" s="12">
        <v>18</v>
      </c>
      <c r="R95" s="12">
        <v>18</v>
      </c>
      <c r="S95" s="12">
        <v>18</v>
      </c>
      <c r="T95" s="12">
        <v>18</v>
      </c>
      <c r="U95" s="12">
        <v>18</v>
      </c>
      <c r="V95" s="12">
        <v>18</v>
      </c>
      <c r="W95" s="12">
        <v>18</v>
      </c>
      <c r="X95" s="12">
        <v>18</v>
      </c>
      <c r="Y95" s="12">
        <v>18</v>
      </c>
      <c r="Z95" s="12">
        <v>18</v>
      </c>
      <c r="AA95" s="12">
        <v>18</v>
      </c>
      <c r="AB95" s="12">
        <v>18</v>
      </c>
      <c r="AC95" s="12">
        <v>18</v>
      </c>
      <c r="AD95" s="12">
        <v>18</v>
      </c>
      <c r="AE95" s="12">
        <v>18</v>
      </c>
      <c r="AF95" s="12">
        <v>18</v>
      </c>
      <c r="AG95" s="12">
        <v>18</v>
      </c>
      <c r="AH95" s="14">
        <v>18</v>
      </c>
      <c r="AI95" s="21">
        <f t="shared" si="6"/>
        <v>527</v>
      </c>
      <c r="AJ95" s="275"/>
    </row>
    <row r="96" spans="2:36" ht="15.6" x14ac:dyDescent="0.3">
      <c r="B96" s="273"/>
      <c r="C96" s="25">
        <v>44228</v>
      </c>
      <c r="D96" s="12">
        <v>20</v>
      </c>
      <c r="E96" s="12">
        <v>20</v>
      </c>
      <c r="F96" s="12">
        <v>20</v>
      </c>
      <c r="G96" s="12">
        <v>20</v>
      </c>
      <c r="H96" s="12">
        <v>20</v>
      </c>
      <c r="I96" s="12">
        <v>20</v>
      </c>
      <c r="J96" s="12">
        <v>20</v>
      </c>
      <c r="K96" s="12">
        <v>20</v>
      </c>
      <c r="L96" s="12">
        <v>20</v>
      </c>
      <c r="M96" s="12">
        <v>20</v>
      </c>
      <c r="N96" s="12">
        <v>20</v>
      </c>
      <c r="O96" s="12">
        <v>20</v>
      </c>
      <c r="P96" s="12">
        <v>20</v>
      </c>
      <c r="Q96" s="12">
        <v>20</v>
      </c>
      <c r="R96" s="12">
        <v>20</v>
      </c>
      <c r="S96" s="12">
        <v>20</v>
      </c>
      <c r="T96" s="12">
        <v>20</v>
      </c>
      <c r="U96" s="12">
        <v>20</v>
      </c>
      <c r="V96" s="12">
        <v>20</v>
      </c>
      <c r="W96" s="12">
        <v>20</v>
      </c>
      <c r="X96" s="12">
        <v>20</v>
      </c>
      <c r="Y96" s="12">
        <v>20</v>
      </c>
      <c r="Z96" s="12">
        <v>20</v>
      </c>
      <c r="AA96" s="12">
        <v>20</v>
      </c>
      <c r="AB96" s="12">
        <v>20</v>
      </c>
      <c r="AC96" s="12">
        <v>20</v>
      </c>
      <c r="AD96" s="12">
        <v>20</v>
      </c>
      <c r="AE96" s="12">
        <v>20</v>
      </c>
      <c r="AF96" s="12"/>
      <c r="AG96" s="12"/>
      <c r="AH96" s="13"/>
      <c r="AI96" s="21">
        <f t="shared" si="6"/>
        <v>560</v>
      </c>
      <c r="AJ96" s="275"/>
    </row>
    <row r="97" spans="2:36" ht="15.6" x14ac:dyDescent="0.3">
      <c r="B97" s="273"/>
      <c r="C97" s="25">
        <v>44256</v>
      </c>
      <c r="D97" s="12">
        <v>20</v>
      </c>
      <c r="E97" s="12">
        <v>20</v>
      </c>
      <c r="F97" s="12">
        <v>20</v>
      </c>
      <c r="G97" s="12">
        <v>20</v>
      </c>
      <c r="H97" s="12">
        <v>20</v>
      </c>
      <c r="I97" s="12">
        <v>20</v>
      </c>
      <c r="J97" s="12">
        <v>20</v>
      </c>
      <c r="K97" s="12">
        <v>17</v>
      </c>
      <c r="L97" s="12">
        <v>20</v>
      </c>
      <c r="M97" s="12">
        <v>20</v>
      </c>
      <c r="N97" s="12">
        <v>20</v>
      </c>
      <c r="O97" s="12">
        <v>20</v>
      </c>
      <c r="P97" s="12">
        <v>20</v>
      </c>
      <c r="Q97" s="12">
        <v>20</v>
      </c>
      <c r="R97" s="12">
        <v>20</v>
      </c>
      <c r="S97" s="12">
        <v>20</v>
      </c>
      <c r="T97" s="12">
        <v>20</v>
      </c>
      <c r="U97" s="12">
        <v>20</v>
      </c>
      <c r="V97" s="12">
        <v>17</v>
      </c>
      <c r="W97" s="12">
        <v>20</v>
      </c>
      <c r="X97" s="12">
        <v>20</v>
      </c>
      <c r="Y97" s="12">
        <v>20</v>
      </c>
      <c r="Z97" s="12">
        <v>20</v>
      </c>
      <c r="AA97" s="12">
        <v>20</v>
      </c>
      <c r="AB97" s="12">
        <v>20</v>
      </c>
      <c r="AC97" s="12">
        <v>20</v>
      </c>
      <c r="AD97" s="12">
        <v>20</v>
      </c>
      <c r="AE97" s="12">
        <v>20</v>
      </c>
      <c r="AF97" s="12">
        <v>20</v>
      </c>
      <c r="AG97" s="12">
        <v>20</v>
      </c>
      <c r="AH97" s="14">
        <v>20</v>
      </c>
      <c r="AI97" s="21">
        <f t="shared" si="6"/>
        <v>614</v>
      </c>
      <c r="AJ97" s="275"/>
    </row>
    <row r="98" spans="2:36" ht="15.6" x14ac:dyDescent="0.3">
      <c r="B98" s="273"/>
      <c r="C98" s="25">
        <v>44287</v>
      </c>
      <c r="D98" s="12">
        <v>16</v>
      </c>
      <c r="E98" s="12">
        <v>12</v>
      </c>
      <c r="F98" s="12">
        <v>20</v>
      </c>
      <c r="G98" s="12">
        <v>20</v>
      </c>
      <c r="H98" s="12">
        <v>20</v>
      </c>
      <c r="I98" s="12">
        <v>18</v>
      </c>
      <c r="J98" s="12">
        <v>20</v>
      </c>
      <c r="K98" s="12">
        <v>20</v>
      </c>
      <c r="L98" s="12">
        <v>20</v>
      </c>
      <c r="M98" s="12">
        <v>20</v>
      </c>
      <c r="N98" s="12">
        <v>20</v>
      </c>
      <c r="O98" s="12">
        <v>20</v>
      </c>
      <c r="P98" s="12">
        <v>20</v>
      </c>
      <c r="Q98" s="12">
        <v>20</v>
      </c>
      <c r="R98" s="12">
        <v>20</v>
      </c>
      <c r="S98" s="12">
        <v>21</v>
      </c>
      <c r="T98" s="12">
        <v>20</v>
      </c>
      <c r="U98" s="12">
        <v>20</v>
      </c>
      <c r="V98" s="12">
        <v>20</v>
      </c>
      <c r="W98" s="12">
        <v>20</v>
      </c>
      <c r="X98" s="12">
        <v>20</v>
      </c>
      <c r="Y98" s="12">
        <v>20</v>
      </c>
      <c r="Z98" s="12">
        <v>21</v>
      </c>
      <c r="AA98" s="12">
        <v>20</v>
      </c>
      <c r="AB98" s="12">
        <v>20</v>
      </c>
      <c r="AC98" s="12">
        <v>20</v>
      </c>
      <c r="AD98" s="12">
        <v>20</v>
      </c>
      <c r="AE98" s="12">
        <v>20</v>
      </c>
      <c r="AF98" s="12">
        <v>20</v>
      </c>
      <c r="AG98" s="12">
        <v>20</v>
      </c>
      <c r="AH98" s="13"/>
      <c r="AI98" s="21">
        <f t="shared" si="6"/>
        <v>588</v>
      </c>
      <c r="AJ98" s="275"/>
    </row>
    <row r="99" spans="2:36" ht="16.2" thickBot="1" x14ac:dyDescent="0.35">
      <c r="B99" s="274"/>
      <c r="C99" s="26">
        <v>44317</v>
      </c>
      <c r="D99" s="18">
        <v>20</v>
      </c>
      <c r="E99" s="18">
        <v>20</v>
      </c>
      <c r="F99" s="18">
        <v>20</v>
      </c>
      <c r="G99" s="18">
        <v>20</v>
      </c>
      <c r="H99" s="18">
        <v>20</v>
      </c>
      <c r="I99" s="18">
        <v>20</v>
      </c>
      <c r="J99" s="18">
        <v>21</v>
      </c>
      <c r="K99" s="18">
        <v>20</v>
      </c>
      <c r="L99" s="18">
        <v>20</v>
      </c>
      <c r="M99" s="18">
        <v>20</v>
      </c>
      <c r="N99" s="18">
        <v>20</v>
      </c>
      <c r="O99" s="18">
        <v>20</v>
      </c>
      <c r="P99" s="18">
        <v>20</v>
      </c>
      <c r="Q99" s="18">
        <v>20</v>
      </c>
      <c r="R99" s="18">
        <v>20</v>
      </c>
      <c r="S99" s="18">
        <v>20</v>
      </c>
      <c r="T99" s="18">
        <v>20</v>
      </c>
      <c r="U99" s="18">
        <v>20</v>
      </c>
      <c r="V99" s="18">
        <v>20</v>
      </c>
      <c r="W99" s="18">
        <v>20</v>
      </c>
      <c r="X99" s="18">
        <v>20</v>
      </c>
      <c r="Y99" s="18">
        <v>20</v>
      </c>
      <c r="Z99" s="18">
        <v>20</v>
      </c>
      <c r="AA99" s="18">
        <v>20</v>
      </c>
      <c r="AB99" s="18">
        <v>20</v>
      </c>
      <c r="AC99" s="18">
        <v>20</v>
      </c>
      <c r="AD99" s="18">
        <v>20</v>
      </c>
      <c r="AE99" s="18">
        <v>20</v>
      </c>
      <c r="AF99" s="18">
        <v>20</v>
      </c>
      <c r="AG99" s="18">
        <v>20</v>
      </c>
      <c r="AH99" s="19">
        <v>20</v>
      </c>
      <c r="AI99" s="22">
        <f t="shared" si="6"/>
        <v>621</v>
      </c>
      <c r="AJ99" s="275"/>
    </row>
    <row r="100" spans="2:36" ht="15.6" x14ac:dyDescent="0.3">
      <c r="B100" s="272">
        <v>9</v>
      </c>
      <c r="C100" s="24">
        <v>44348</v>
      </c>
      <c r="D100" s="15">
        <v>20</v>
      </c>
      <c r="E100" s="15">
        <v>20</v>
      </c>
      <c r="F100" s="15">
        <v>20</v>
      </c>
      <c r="G100" s="15">
        <v>20</v>
      </c>
      <c r="H100" s="15">
        <v>20</v>
      </c>
      <c r="I100" s="15">
        <v>20</v>
      </c>
      <c r="J100" s="15">
        <v>20</v>
      </c>
      <c r="K100" s="15">
        <v>20</v>
      </c>
      <c r="L100" s="15">
        <v>20</v>
      </c>
      <c r="M100" s="15">
        <v>20</v>
      </c>
      <c r="N100" s="15">
        <v>22</v>
      </c>
      <c r="O100" s="16">
        <v>20</v>
      </c>
      <c r="P100" s="16">
        <v>22</v>
      </c>
      <c r="Q100" s="16">
        <v>22</v>
      </c>
      <c r="R100" s="16">
        <v>22</v>
      </c>
      <c r="S100" s="16">
        <v>22</v>
      </c>
      <c r="T100" s="16">
        <v>22</v>
      </c>
      <c r="U100" s="16">
        <v>22</v>
      </c>
      <c r="V100" s="16">
        <v>20</v>
      </c>
      <c r="W100" s="16">
        <v>22</v>
      </c>
      <c r="X100" s="16">
        <v>22</v>
      </c>
      <c r="Y100" s="16">
        <v>22</v>
      </c>
      <c r="Z100" s="16">
        <v>22</v>
      </c>
      <c r="AA100" s="16">
        <v>20</v>
      </c>
      <c r="AB100" s="16">
        <v>22</v>
      </c>
      <c r="AC100" s="16">
        <v>20</v>
      </c>
      <c r="AD100" s="16">
        <v>22</v>
      </c>
      <c r="AE100" s="16">
        <v>22</v>
      </c>
      <c r="AF100" s="16">
        <v>22</v>
      </c>
      <c r="AG100" s="16">
        <v>22</v>
      </c>
      <c r="AH100" s="17"/>
      <c r="AI100" s="20">
        <f t="shared" si="6"/>
        <v>632</v>
      </c>
      <c r="AJ100" s="275">
        <f t="shared" ref="AJ100" si="9">SUM(AI100:AI111)</f>
        <v>7139</v>
      </c>
    </row>
    <row r="101" spans="2:36" ht="15.6" x14ac:dyDescent="0.3">
      <c r="B101" s="273"/>
      <c r="C101" s="25">
        <v>44378</v>
      </c>
      <c r="D101" s="12">
        <v>20</v>
      </c>
      <c r="E101" s="12">
        <v>20</v>
      </c>
      <c r="F101" s="12">
        <v>18</v>
      </c>
      <c r="G101" s="12">
        <v>20</v>
      </c>
      <c r="H101" s="12">
        <v>20</v>
      </c>
      <c r="I101" s="12">
        <v>20</v>
      </c>
      <c r="J101" s="12">
        <v>20</v>
      </c>
      <c r="K101" s="12">
        <v>20</v>
      </c>
      <c r="L101" s="12">
        <v>20</v>
      </c>
      <c r="M101" s="12">
        <v>18</v>
      </c>
      <c r="N101" s="12">
        <v>20</v>
      </c>
      <c r="O101" s="12">
        <v>21</v>
      </c>
      <c r="P101" s="12">
        <v>21</v>
      </c>
      <c r="Q101" s="12">
        <v>21</v>
      </c>
      <c r="R101" s="12">
        <v>21</v>
      </c>
      <c r="S101" s="12">
        <v>21</v>
      </c>
      <c r="T101" s="12">
        <v>18</v>
      </c>
      <c r="U101" s="12">
        <v>20</v>
      </c>
      <c r="V101" s="12">
        <v>20</v>
      </c>
      <c r="W101" s="12">
        <v>20</v>
      </c>
      <c r="X101" s="12">
        <v>20</v>
      </c>
      <c r="Y101" s="12">
        <v>20</v>
      </c>
      <c r="Z101" s="12">
        <v>20</v>
      </c>
      <c r="AA101" s="12">
        <v>18</v>
      </c>
      <c r="AB101" s="12">
        <v>20</v>
      </c>
      <c r="AC101" s="12">
        <v>20</v>
      </c>
      <c r="AD101" s="12">
        <v>20</v>
      </c>
      <c r="AE101" s="12">
        <v>20</v>
      </c>
      <c r="AF101" s="12">
        <v>20</v>
      </c>
      <c r="AG101" s="12">
        <v>20</v>
      </c>
      <c r="AH101" s="14">
        <v>18</v>
      </c>
      <c r="AI101" s="21">
        <f t="shared" si="6"/>
        <v>615</v>
      </c>
      <c r="AJ101" s="275"/>
    </row>
    <row r="102" spans="2:36" ht="15.6" x14ac:dyDescent="0.3">
      <c r="B102" s="273"/>
      <c r="C102" s="25">
        <v>44409</v>
      </c>
      <c r="D102" s="12">
        <v>20</v>
      </c>
      <c r="E102" s="12">
        <v>20</v>
      </c>
      <c r="F102" s="12">
        <v>20</v>
      </c>
      <c r="G102" s="12">
        <v>20</v>
      </c>
      <c r="H102" s="12">
        <v>20</v>
      </c>
      <c r="I102" s="12">
        <v>20</v>
      </c>
      <c r="J102" s="12">
        <v>18</v>
      </c>
      <c r="K102" s="12">
        <v>20</v>
      </c>
      <c r="L102" s="12">
        <v>20</v>
      </c>
      <c r="M102" s="12">
        <v>20</v>
      </c>
      <c r="N102" s="12">
        <v>20</v>
      </c>
      <c r="O102" s="12">
        <v>20</v>
      </c>
      <c r="P102" s="12">
        <v>20</v>
      </c>
      <c r="Q102" s="12">
        <v>18</v>
      </c>
      <c r="R102" s="12">
        <v>20</v>
      </c>
      <c r="S102" s="12">
        <v>20</v>
      </c>
      <c r="T102" s="12">
        <v>20</v>
      </c>
      <c r="U102" s="12">
        <v>20</v>
      </c>
      <c r="V102" s="12">
        <v>20</v>
      </c>
      <c r="W102" s="12">
        <v>20</v>
      </c>
      <c r="X102" s="12">
        <v>18</v>
      </c>
      <c r="Y102" s="12">
        <v>20</v>
      </c>
      <c r="Z102" s="12">
        <v>20</v>
      </c>
      <c r="AA102" s="12">
        <v>20</v>
      </c>
      <c r="AB102" s="12">
        <v>20</v>
      </c>
      <c r="AC102" s="12">
        <v>20</v>
      </c>
      <c r="AD102" s="12">
        <v>20</v>
      </c>
      <c r="AE102" s="12">
        <v>18</v>
      </c>
      <c r="AF102" s="12">
        <v>20</v>
      </c>
      <c r="AG102" s="12">
        <v>20</v>
      </c>
      <c r="AH102" s="14">
        <v>20</v>
      </c>
      <c r="AI102" s="21">
        <f t="shared" si="6"/>
        <v>612</v>
      </c>
      <c r="AJ102" s="275"/>
    </row>
    <row r="103" spans="2:36" ht="15.6" x14ac:dyDescent="0.3">
      <c r="B103" s="273"/>
      <c r="C103" s="25">
        <v>44440</v>
      </c>
      <c r="D103" s="12">
        <v>20</v>
      </c>
      <c r="E103" s="12">
        <v>20</v>
      </c>
      <c r="F103" s="12">
        <v>22</v>
      </c>
      <c r="G103" s="12">
        <v>18</v>
      </c>
      <c r="H103" s="12">
        <v>20</v>
      </c>
      <c r="I103" s="12">
        <v>20</v>
      </c>
      <c r="J103" s="12">
        <v>20</v>
      </c>
      <c r="K103" s="12">
        <v>20</v>
      </c>
      <c r="L103" s="12">
        <v>20</v>
      </c>
      <c r="M103" s="12">
        <v>22</v>
      </c>
      <c r="N103" s="12">
        <v>18</v>
      </c>
      <c r="O103" s="12">
        <v>20</v>
      </c>
      <c r="P103" s="12">
        <v>21</v>
      </c>
      <c r="Q103" s="12">
        <v>20</v>
      </c>
      <c r="R103" s="12">
        <v>20</v>
      </c>
      <c r="S103" s="12">
        <v>20</v>
      </c>
      <c r="T103" s="12">
        <v>22</v>
      </c>
      <c r="U103" s="12">
        <v>18</v>
      </c>
      <c r="V103" s="12">
        <v>19</v>
      </c>
      <c r="W103" s="12">
        <v>21</v>
      </c>
      <c r="X103" s="12">
        <v>20</v>
      </c>
      <c r="Y103" s="12">
        <v>20</v>
      </c>
      <c r="Z103" s="12">
        <v>20</v>
      </c>
      <c r="AA103" s="12">
        <v>22</v>
      </c>
      <c r="AB103" s="12">
        <v>18</v>
      </c>
      <c r="AC103" s="12">
        <v>19</v>
      </c>
      <c r="AD103" s="12">
        <v>21</v>
      </c>
      <c r="AE103" s="12">
        <v>20</v>
      </c>
      <c r="AF103" s="12">
        <v>20</v>
      </c>
      <c r="AG103" s="12">
        <v>17</v>
      </c>
      <c r="AH103" s="13"/>
      <c r="AI103" s="21">
        <f t="shared" si="6"/>
        <v>598</v>
      </c>
      <c r="AJ103" s="275"/>
    </row>
    <row r="104" spans="2:36" ht="15.6" x14ac:dyDescent="0.3">
      <c r="B104" s="273"/>
      <c r="C104" s="25">
        <v>44470</v>
      </c>
      <c r="D104" s="12">
        <v>17</v>
      </c>
      <c r="E104" s="12">
        <v>18</v>
      </c>
      <c r="F104" s="12">
        <v>19</v>
      </c>
      <c r="G104" s="12">
        <v>19</v>
      </c>
      <c r="H104" s="12">
        <v>17</v>
      </c>
      <c r="I104" s="12">
        <v>20</v>
      </c>
      <c r="J104" s="12">
        <v>17</v>
      </c>
      <c r="K104" s="12">
        <v>19</v>
      </c>
      <c r="L104" s="12">
        <v>18</v>
      </c>
      <c r="M104" s="12">
        <v>18</v>
      </c>
      <c r="N104" s="12">
        <v>18</v>
      </c>
      <c r="O104" s="12">
        <v>20</v>
      </c>
      <c r="P104" s="12">
        <v>21</v>
      </c>
      <c r="Q104" s="12">
        <v>20</v>
      </c>
      <c r="R104" s="12">
        <v>22</v>
      </c>
      <c r="S104" s="12">
        <v>18</v>
      </c>
      <c r="T104" s="12">
        <v>19</v>
      </c>
      <c r="U104" s="12">
        <v>21</v>
      </c>
      <c r="V104" s="12">
        <v>20</v>
      </c>
      <c r="W104" s="12">
        <v>20</v>
      </c>
      <c r="X104" s="12">
        <v>20</v>
      </c>
      <c r="Y104" s="12">
        <v>22</v>
      </c>
      <c r="Z104" s="12">
        <v>18</v>
      </c>
      <c r="AA104" s="12">
        <v>19</v>
      </c>
      <c r="AB104" s="12">
        <v>21</v>
      </c>
      <c r="AC104" s="12">
        <v>20</v>
      </c>
      <c r="AD104" s="12">
        <v>20</v>
      </c>
      <c r="AE104" s="12">
        <v>20</v>
      </c>
      <c r="AF104" s="12">
        <v>22</v>
      </c>
      <c r="AG104" s="12">
        <v>18</v>
      </c>
      <c r="AH104" s="14">
        <v>18</v>
      </c>
      <c r="AI104" s="21">
        <f t="shared" si="6"/>
        <v>599</v>
      </c>
      <c r="AJ104" s="275"/>
    </row>
    <row r="105" spans="2:36" ht="15.6" x14ac:dyDescent="0.3">
      <c r="B105" s="273"/>
      <c r="C105" s="25">
        <v>44501</v>
      </c>
      <c r="D105" s="12">
        <v>20</v>
      </c>
      <c r="E105" s="12">
        <v>21</v>
      </c>
      <c r="F105" s="12">
        <v>20</v>
      </c>
      <c r="G105" s="12">
        <v>20</v>
      </c>
      <c r="H105" s="12">
        <v>22</v>
      </c>
      <c r="I105" s="12">
        <v>18</v>
      </c>
      <c r="J105" s="12">
        <v>19</v>
      </c>
      <c r="K105" s="12">
        <v>19</v>
      </c>
      <c r="L105" s="12">
        <v>19</v>
      </c>
      <c r="M105" s="12">
        <v>20</v>
      </c>
      <c r="N105" s="12">
        <v>20</v>
      </c>
      <c r="O105" s="12">
        <v>22</v>
      </c>
      <c r="P105" s="12">
        <v>18</v>
      </c>
      <c r="Q105" s="12">
        <v>19</v>
      </c>
      <c r="R105" s="12">
        <v>21</v>
      </c>
      <c r="S105" s="12">
        <v>20</v>
      </c>
      <c r="T105" s="12">
        <v>20</v>
      </c>
      <c r="U105" s="12">
        <v>20</v>
      </c>
      <c r="V105" s="12">
        <v>22</v>
      </c>
      <c r="W105" s="12">
        <v>18</v>
      </c>
      <c r="X105" s="12">
        <v>19</v>
      </c>
      <c r="Y105" s="12">
        <v>21</v>
      </c>
      <c r="Z105" s="12">
        <v>20</v>
      </c>
      <c r="AA105" s="12">
        <v>20</v>
      </c>
      <c r="AB105" s="12">
        <v>20</v>
      </c>
      <c r="AC105" s="12">
        <v>22</v>
      </c>
      <c r="AD105" s="12">
        <v>18</v>
      </c>
      <c r="AE105" s="12">
        <v>19</v>
      </c>
      <c r="AF105" s="12">
        <v>21</v>
      </c>
      <c r="AG105" s="12">
        <v>20</v>
      </c>
      <c r="AH105" s="13"/>
      <c r="AI105" s="21">
        <f t="shared" si="6"/>
        <v>598</v>
      </c>
      <c r="AJ105" s="275"/>
    </row>
    <row r="106" spans="2:36" ht="15.6" x14ac:dyDescent="0.3">
      <c r="B106" s="273"/>
      <c r="C106" s="25">
        <v>44531</v>
      </c>
      <c r="D106" s="12">
        <v>20</v>
      </c>
      <c r="E106" s="12">
        <v>20</v>
      </c>
      <c r="F106" s="12">
        <v>22</v>
      </c>
      <c r="G106" s="12">
        <v>18</v>
      </c>
      <c r="H106" s="12">
        <v>18</v>
      </c>
      <c r="I106" s="12">
        <v>19</v>
      </c>
      <c r="J106" s="12">
        <v>20</v>
      </c>
      <c r="K106" s="12">
        <v>19</v>
      </c>
      <c r="L106" s="12">
        <v>20</v>
      </c>
      <c r="M106" s="12">
        <v>22</v>
      </c>
      <c r="N106" s="12">
        <v>18</v>
      </c>
      <c r="O106" s="12">
        <v>21</v>
      </c>
      <c r="P106" s="12">
        <v>22</v>
      </c>
      <c r="Q106" s="12">
        <v>21</v>
      </c>
      <c r="R106" s="12">
        <v>21</v>
      </c>
      <c r="S106" s="12">
        <v>21</v>
      </c>
      <c r="T106" s="12">
        <v>23</v>
      </c>
      <c r="U106" s="12">
        <v>17</v>
      </c>
      <c r="V106" s="12">
        <v>20</v>
      </c>
      <c r="W106" s="12">
        <v>21</v>
      </c>
      <c r="X106" s="12">
        <v>21</v>
      </c>
      <c r="Y106" s="12">
        <v>21</v>
      </c>
      <c r="Z106" s="12">
        <v>21</v>
      </c>
      <c r="AA106" s="12">
        <v>21</v>
      </c>
      <c r="AB106" s="12">
        <v>13</v>
      </c>
      <c r="AC106" s="12">
        <v>20</v>
      </c>
      <c r="AD106" s="12">
        <v>21</v>
      </c>
      <c r="AE106" s="12">
        <v>21</v>
      </c>
      <c r="AF106" s="12">
        <v>21</v>
      </c>
      <c r="AG106" s="12">
        <v>21</v>
      </c>
      <c r="AH106" s="14">
        <v>19</v>
      </c>
      <c r="AI106" s="21">
        <f t="shared" si="6"/>
        <v>623</v>
      </c>
      <c r="AJ106" s="275"/>
    </row>
    <row r="107" spans="2:36" ht="15.6" x14ac:dyDescent="0.3">
      <c r="B107" s="273"/>
      <c r="C107" s="25">
        <v>44562</v>
      </c>
      <c r="D107" s="12">
        <v>13</v>
      </c>
      <c r="E107" s="12">
        <v>20</v>
      </c>
      <c r="F107" s="12">
        <v>21</v>
      </c>
      <c r="G107" s="12">
        <v>21</v>
      </c>
      <c r="H107" s="12">
        <v>19</v>
      </c>
      <c r="I107" s="12">
        <v>14</v>
      </c>
      <c r="J107" s="12">
        <v>17</v>
      </c>
      <c r="K107" s="12">
        <v>15</v>
      </c>
      <c r="L107" s="12">
        <v>20</v>
      </c>
      <c r="M107" s="12">
        <v>21</v>
      </c>
      <c r="N107" s="12">
        <v>21</v>
      </c>
      <c r="O107" s="12">
        <v>21</v>
      </c>
      <c r="P107" s="12">
        <v>21</v>
      </c>
      <c r="Q107" s="12">
        <v>23</v>
      </c>
      <c r="R107" s="12">
        <v>17</v>
      </c>
      <c r="S107" s="12">
        <v>20</v>
      </c>
      <c r="T107" s="12">
        <v>21</v>
      </c>
      <c r="U107" s="12">
        <v>21</v>
      </c>
      <c r="V107" s="12">
        <v>21</v>
      </c>
      <c r="W107" s="12">
        <v>21</v>
      </c>
      <c r="X107" s="12">
        <v>23</v>
      </c>
      <c r="Y107" s="12">
        <v>17</v>
      </c>
      <c r="Z107" s="12">
        <v>20</v>
      </c>
      <c r="AA107" s="12">
        <v>21</v>
      </c>
      <c r="AB107" s="12">
        <v>21</v>
      </c>
      <c r="AC107" s="12">
        <v>21</v>
      </c>
      <c r="AD107" s="12">
        <v>21</v>
      </c>
      <c r="AE107" s="12">
        <v>23</v>
      </c>
      <c r="AF107" s="12">
        <v>17</v>
      </c>
      <c r="AG107" s="12">
        <v>20</v>
      </c>
      <c r="AH107" s="14">
        <v>21</v>
      </c>
      <c r="AI107" s="21">
        <f t="shared" si="6"/>
        <v>613</v>
      </c>
      <c r="AJ107" s="275"/>
    </row>
    <row r="108" spans="2:36" ht="15.6" x14ac:dyDescent="0.3">
      <c r="B108" s="273"/>
      <c r="C108" s="25">
        <v>44593</v>
      </c>
      <c r="D108" s="12">
        <v>21</v>
      </c>
      <c r="E108" s="12">
        <v>21</v>
      </c>
      <c r="F108" s="12">
        <v>21</v>
      </c>
      <c r="G108" s="12">
        <v>23</v>
      </c>
      <c r="H108" s="12">
        <v>17</v>
      </c>
      <c r="I108" s="12">
        <v>20</v>
      </c>
      <c r="J108" s="12">
        <v>21</v>
      </c>
      <c r="K108" s="12">
        <v>21</v>
      </c>
      <c r="L108" s="12">
        <v>21</v>
      </c>
      <c r="M108" s="12">
        <v>21</v>
      </c>
      <c r="N108" s="12">
        <v>23</v>
      </c>
      <c r="O108" s="12">
        <v>17</v>
      </c>
      <c r="P108" s="12">
        <v>20</v>
      </c>
      <c r="Q108" s="12">
        <v>21</v>
      </c>
      <c r="R108" s="12">
        <v>21</v>
      </c>
      <c r="S108" s="12">
        <v>21</v>
      </c>
      <c r="T108" s="12">
        <v>21</v>
      </c>
      <c r="U108" s="12">
        <v>23</v>
      </c>
      <c r="V108" s="12">
        <v>17</v>
      </c>
      <c r="W108" s="12">
        <v>20</v>
      </c>
      <c r="X108" s="12">
        <v>21</v>
      </c>
      <c r="Y108" s="12">
        <v>21</v>
      </c>
      <c r="Z108" s="12">
        <v>21</v>
      </c>
      <c r="AA108" s="12">
        <v>21</v>
      </c>
      <c r="AB108" s="12">
        <v>23</v>
      </c>
      <c r="AC108" s="12">
        <v>17</v>
      </c>
      <c r="AD108" s="12">
        <v>20</v>
      </c>
      <c r="AE108" s="12">
        <v>19</v>
      </c>
      <c r="AF108" s="12"/>
      <c r="AG108" s="12"/>
      <c r="AH108" s="13"/>
      <c r="AI108" s="21">
        <f t="shared" si="6"/>
        <v>574</v>
      </c>
      <c r="AJ108" s="275"/>
    </row>
    <row r="109" spans="2:36" ht="15.6" x14ac:dyDescent="0.3">
      <c r="B109" s="273"/>
      <c r="C109" s="25">
        <v>44621</v>
      </c>
      <c r="D109" s="12">
        <v>19</v>
      </c>
      <c r="E109" s="12">
        <v>19</v>
      </c>
      <c r="F109" s="12">
        <v>19</v>
      </c>
      <c r="G109" s="12">
        <v>20</v>
      </c>
      <c r="H109" s="12">
        <v>14</v>
      </c>
      <c r="I109" s="12">
        <v>18</v>
      </c>
      <c r="J109" s="12">
        <v>19</v>
      </c>
      <c r="K109" s="12">
        <v>19</v>
      </c>
      <c r="L109" s="12">
        <v>19</v>
      </c>
      <c r="M109" s="12">
        <v>19</v>
      </c>
      <c r="N109" s="12">
        <v>20</v>
      </c>
      <c r="O109" s="12">
        <v>14</v>
      </c>
      <c r="P109" s="12">
        <v>18</v>
      </c>
      <c r="Q109" s="12">
        <v>19</v>
      </c>
      <c r="R109" s="12">
        <v>19</v>
      </c>
      <c r="S109" s="12">
        <v>19</v>
      </c>
      <c r="T109" s="12">
        <v>19</v>
      </c>
      <c r="U109" s="12">
        <v>20</v>
      </c>
      <c r="V109" s="12">
        <v>14</v>
      </c>
      <c r="W109" s="12">
        <v>18</v>
      </c>
      <c r="X109" s="12">
        <v>19</v>
      </c>
      <c r="Y109" s="12">
        <v>19</v>
      </c>
      <c r="Z109" s="12">
        <v>19</v>
      </c>
      <c r="AA109" s="12">
        <v>19</v>
      </c>
      <c r="AB109" s="12">
        <v>20</v>
      </c>
      <c r="AC109" s="12">
        <v>14</v>
      </c>
      <c r="AD109" s="12">
        <v>18</v>
      </c>
      <c r="AE109" s="12">
        <v>19</v>
      </c>
      <c r="AF109" s="12">
        <v>19</v>
      </c>
      <c r="AG109" s="12">
        <v>19</v>
      </c>
      <c r="AH109" s="14">
        <v>19</v>
      </c>
      <c r="AI109" s="21">
        <f t="shared" si="6"/>
        <v>569</v>
      </c>
      <c r="AJ109" s="275"/>
    </row>
    <row r="110" spans="2:36" ht="15.6" x14ac:dyDescent="0.3">
      <c r="B110" s="273"/>
      <c r="C110" s="25">
        <v>44652</v>
      </c>
      <c r="D110" s="12">
        <v>20</v>
      </c>
      <c r="E110" s="12">
        <v>14</v>
      </c>
      <c r="F110" s="12">
        <v>18</v>
      </c>
      <c r="G110" s="12">
        <v>19</v>
      </c>
      <c r="H110" s="12">
        <v>19</v>
      </c>
      <c r="I110" s="12">
        <v>19</v>
      </c>
      <c r="J110" s="12">
        <v>19</v>
      </c>
      <c r="K110" s="12">
        <v>20</v>
      </c>
      <c r="L110" s="12">
        <v>14</v>
      </c>
      <c r="M110" s="12">
        <v>18</v>
      </c>
      <c r="N110" s="12">
        <v>19</v>
      </c>
      <c r="O110" s="12">
        <v>19</v>
      </c>
      <c r="P110" s="12">
        <v>19</v>
      </c>
      <c r="Q110" s="12">
        <v>19</v>
      </c>
      <c r="R110" s="12">
        <v>15</v>
      </c>
      <c r="S110" s="12">
        <v>14</v>
      </c>
      <c r="T110" s="12">
        <v>18</v>
      </c>
      <c r="U110" s="12">
        <v>19</v>
      </c>
      <c r="V110" s="12">
        <v>19</v>
      </c>
      <c r="W110" s="12">
        <v>19</v>
      </c>
      <c r="X110" s="12">
        <v>19</v>
      </c>
      <c r="Y110" s="12">
        <v>20</v>
      </c>
      <c r="Z110" s="12">
        <v>14</v>
      </c>
      <c r="AA110" s="12">
        <v>18</v>
      </c>
      <c r="AB110" s="12">
        <v>19</v>
      </c>
      <c r="AC110" s="12">
        <v>19</v>
      </c>
      <c r="AD110" s="12">
        <v>19</v>
      </c>
      <c r="AE110" s="12">
        <v>18</v>
      </c>
      <c r="AF110" s="12">
        <v>20</v>
      </c>
      <c r="AG110" s="12">
        <v>14</v>
      </c>
      <c r="AH110" s="13"/>
      <c r="AI110" s="21">
        <f t="shared" si="6"/>
        <v>540</v>
      </c>
      <c r="AJ110" s="275"/>
    </row>
    <row r="111" spans="2:36" ht="16.2" thickBot="1" x14ac:dyDescent="0.35">
      <c r="B111" s="274"/>
      <c r="C111" s="26">
        <v>44682</v>
      </c>
      <c r="D111" s="18">
        <v>18</v>
      </c>
      <c r="E111" s="18">
        <v>17</v>
      </c>
      <c r="F111" s="18">
        <v>19</v>
      </c>
      <c r="G111" s="18">
        <v>19</v>
      </c>
      <c r="H111" s="18">
        <v>19</v>
      </c>
      <c r="I111" s="18">
        <v>20</v>
      </c>
      <c r="J111" s="18">
        <v>14</v>
      </c>
      <c r="K111" s="18">
        <v>18</v>
      </c>
      <c r="L111" s="18">
        <v>19</v>
      </c>
      <c r="M111" s="18">
        <v>19</v>
      </c>
      <c r="N111" s="18">
        <v>19</v>
      </c>
      <c r="O111" s="18">
        <v>19</v>
      </c>
      <c r="P111" s="18">
        <v>20</v>
      </c>
      <c r="Q111" s="18">
        <v>14</v>
      </c>
      <c r="R111" s="18">
        <v>18</v>
      </c>
      <c r="S111" s="18">
        <v>18</v>
      </c>
      <c r="T111" s="18">
        <v>19</v>
      </c>
      <c r="U111" s="18">
        <v>19</v>
      </c>
      <c r="V111" s="18">
        <v>19</v>
      </c>
      <c r="W111" s="18">
        <v>20</v>
      </c>
      <c r="X111" s="18">
        <v>14</v>
      </c>
      <c r="Y111" s="18">
        <v>18</v>
      </c>
      <c r="Z111" s="18">
        <v>19</v>
      </c>
      <c r="AA111" s="18">
        <v>19</v>
      </c>
      <c r="AB111" s="18">
        <v>19</v>
      </c>
      <c r="AC111" s="18">
        <v>19</v>
      </c>
      <c r="AD111" s="18">
        <v>20</v>
      </c>
      <c r="AE111" s="18">
        <v>15</v>
      </c>
      <c r="AF111" s="18">
        <v>18</v>
      </c>
      <c r="AG111" s="18">
        <v>19</v>
      </c>
      <c r="AH111" s="19">
        <v>19</v>
      </c>
      <c r="AI111" s="22">
        <f t="shared" si="6"/>
        <v>566</v>
      </c>
      <c r="AJ111" s="275"/>
    </row>
    <row r="112" spans="2:36" ht="15.6" x14ac:dyDescent="0.3">
      <c r="B112" s="272">
        <v>10</v>
      </c>
      <c r="C112" s="24">
        <v>44713</v>
      </c>
      <c r="D112" s="15">
        <v>19</v>
      </c>
      <c r="E112" s="15">
        <v>19</v>
      </c>
      <c r="F112" s="15">
        <v>20</v>
      </c>
      <c r="G112" s="15">
        <v>15</v>
      </c>
      <c r="H112" s="15">
        <v>18</v>
      </c>
      <c r="I112" s="15">
        <v>19</v>
      </c>
      <c r="J112" s="15">
        <v>19</v>
      </c>
      <c r="K112" s="15">
        <v>19</v>
      </c>
      <c r="L112" s="15">
        <v>19</v>
      </c>
      <c r="M112" s="15">
        <v>20</v>
      </c>
      <c r="N112" s="15">
        <v>14</v>
      </c>
      <c r="O112" s="16">
        <v>18</v>
      </c>
      <c r="P112" s="16">
        <v>19</v>
      </c>
      <c r="Q112" s="16">
        <v>19</v>
      </c>
      <c r="R112" s="16">
        <v>18</v>
      </c>
      <c r="S112" s="16">
        <v>19</v>
      </c>
      <c r="T112" s="16">
        <v>19</v>
      </c>
      <c r="U112" s="16">
        <v>14</v>
      </c>
      <c r="V112" s="16">
        <v>18</v>
      </c>
      <c r="W112" s="16">
        <v>19</v>
      </c>
      <c r="X112" s="16">
        <v>19</v>
      </c>
      <c r="Y112" s="16">
        <v>19</v>
      </c>
      <c r="Z112" s="16">
        <v>19</v>
      </c>
      <c r="AA112" s="16">
        <v>20</v>
      </c>
      <c r="AB112" s="16">
        <v>13</v>
      </c>
      <c r="AC112" s="16">
        <v>18</v>
      </c>
      <c r="AD112" s="16">
        <v>19</v>
      </c>
      <c r="AE112" s="16">
        <v>19</v>
      </c>
      <c r="AF112" s="16">
        <v>19</v>
      </c>
      <c r="AG112" s="16">
        <v>19</v>
      </c>
      <c r="AH112" s="17"/>
      <c r="AI112" s="20">
        <f t="shared" si="6"/>
        <v>548</v>
      </c>
      <c r="AJ112" s="276">
        <f>SUM(AI112:AI120)</f>
        <v>6689.0239999999985</v>
      </c>
    </row>
    <row r="113" spans="2:36" ht="15.6" x14ac:dyDescent="0.3">
      <c r="B113" s="273"/>
      <c r="C113" s="25">
        <v>44743</v>
      </c>
      <c r="D113" s="12">
        <v>22</v>
      </c>
      <c r="E113" s="12">
        <v>17</v>
      </c>
      <c r="F113" s="12">
        <v>21</v>
      </c>
      <c r="G113" s="12">
        <v>19</v>
      </c>
      <c r="H113" s="12">
        <v>21</v>
      </c>
      <c r="I113" s="12">
        <v>21</v>
      </c>
      <c r="J113" s="12">
        <v>21</v>
      </c>
      <c r="K113" s="12">
        <v>22</v>
      </c>
      <c r="L113" s="12">
        <v>17</v>
      </c>
      <c r="M113" s="12">
        <v>21</v>
      </c>
      <c r="N113" s="12">
        <v>21</v>
      </c>
      <c r="O113" s="12">
        <v>21</v>
      </c>
      <c r="P113" s="12">
        <v>21</v>
      </c>
      <c r="Q113" s="12">
        <v>21</v>
      </c>
      <c r="R113" s="12">
        <v>22</v>
      </c>
      <c r="S113" s="12">
        <v>17</v>
      </c>
      <c r="T113" s="12">
        <v>21</v>
      </c>
      <c r="U113" s="12">
        <v>21</v>
      </c>
      <c r="V113" s="12">
        <v>21</v>
      </c>
      <c r="W113" s="12">
        <v>23</v>
      </c>
      <c r="X113" s="12">
        <v>23</v>
      </c>
      <c r="Y113" s="12">
        <v>24</v>
      </c>
      <c r="Z113" s="12">
        <v>18</v>
      </c>
      <c r="AA113" s="12">
        <v>21</v>
      </c>
      <c r="AB113" s="12">
        <v>22</v>
      </c>
      <c r="AC113" s="12">
        <v>23</v>
      </c>
      <c r="AD113" s="12">
        <v>23</v>
      </c>
      <c r="AE113" s="12">
        <v>23</v>
      </c>
      <c r="AF113" s="12">
        <v>24</v>
      </c>
      <c r="AG113" s="12">
        <v>18</v>
      </c>
      <c r="AH113" s="14">
        <v>22</v>
      </c>
      <c r="AI113" s="21">
        <f t="shared" si="6"/>
        <v>652</v>
      </c>
      <c r="AJ113" s="276"/>
    </row>
    <row r="114" spans="2:36" ht="15.6" x14ac:dyDescent="0.3">
      <c r="B114" s="273"/>
      <c r="C114" s="25">
        <v>44774</v>
      </c>
      <c r="D114" s="12">
        <v>23</v>
      </c>
      <c r="E114" s="12">
        <v>23</v>
      </c>
      <c r="F114" s="12">
        <v>22</v>
      </c>
      <c r="G114" s="12">
        <v>21</v>
      </c>
      <c r="H114" s="12">
        <v>22</v>
      </c>
      <c r="I114" s="12">
        <v>17</v>
      </c>
      <c r="J114" s="12">
        <v>21</v>
      </c>
      <c r="K114" s="12">
        <v>21</v>
      </c>
      <c r="L114" s="12">
        <v>21</v>
      </c>
      <c r="M114" s="12">
        <v>21</v>
      </c>
      <c r="N114" s="12">
        <v>21</v>
      </c>
      <c r="O114" s="12">
        <v>22</v>
      </c>
      <c r="P114" s="12">
        <v>17</v>
      </c>
      <c r="Q114" s="12">
        <v>20</v>
      </c>
      <c r="R114" s="12">
        <v>20</v>
      </c>
      <c r="S114" s="12">
        <v>21</v>
      </c>
      <c r="T114" s="12">
        <v>21</v>
      </c>
      <c r="U114" s="12">
        <v>21</v>
      </c>
      <c r="V114" s="12">
        <v>22</v>
      </c>
      <c r="W114" s="12">
        <v>17</v>
      </c>
      <c r="X114" s="12">
        <v>21</v>
      </c>
      <c r="Y114" s="12">
        <v>21</v>
      </c>
      <c r="Z114" s="12">
        <v>21</v>
      </c>
      <c r="AA114" s="12">
        <v>21</v>
      </c>
      <c r="AB114" s="12">
        <v>21</v>
      </c>
      <c r="AC114" s="12">
        <v>22</v>
      </c>
      <c r="AD114" s="12">
        <v>17</v>
      </c>
      <c r="AE114" s="12">
        <v>21</v>
      </c>
      <c r="AF114" s="12">
        <v>21</v>
      </c>
      <c r="AG114" s="12">
        <v>21</v>
      </c>
      <c r="AH114" s="14">
        <v>21</v>
      </c>
      <c r="AI114" s="21">
        <f t="shared" si="6"/>
        <v>642</v>
      </c>
      <c r="AJ114" s="276"/>
    </row>
    <row r="115" spans="2:36" ht="15.6" x14ac:dyDescent="0.3">
      <c r="B115" s="273"/>
      <c r="C115" s="25">
        <v>44805</v>
      </c>
      <c r="D115" s="12">
        <v>27</v>
      </c>
      <c r="E115" s="12">
        <v>28</v>
      </c>
      <c r="F115" s="12">
        <v>22</v>
      </c>
      <c r="G115" s="12">
        <v>25</v>
      </c>
      <c r="H115" s="12">
        <v>27</v>
      </c>
      <c r="I115" s="12">
        <v>27</v>
      </c>
      <c r="J115" s="12">
        <v>27</v>
      </c>
      <c r="K115" s="12">
        <v>27</v>
      </c>
      <c r="L115" s="12">
        <v>28</v>
      </c>
      <c r="M115" s="12">
        <v>21</v>
      </c>
      <c r="N115" s="12">
        <v>25</v>
      </c>
      <c r="O115" s="12">
        <v>27</v>
      </c>
      <c r="P115" s="12">
        <v>21</v>
      </c>
      <c r="Q115" s="12">
        <v>21</v>
      </c>
      <c r="R115" s="12">
        <v>21</v>
      </c>
      <c r="S115" s="12">
        <v>21</v>
      </c>
      <c r="T115" s="12">
        <v>22</v>
      </c>
      <c r="U115" s="12">
        <v>16</v>
      </c>
      <c r="V115" s="12">
        <v>20</v>
      </c>
      <c r="W115" s="12">
        <v>21</v>
      </c>
      <c r="X115" s="12">
        <v>21</v>
      </c>
      <c r="Y115" s="12">
        <v>21</v>
      </c>
      <c r="Z115" s="12">
        <v>21</v>
      </c>
      <c r="AA115" s="12">
        <v>22</v>
      </c>
      <c r="AB115" s="12">
        <v>16</v>
      </c>
      <c r="AC115" s="12">
        <v>20</v>
      </c>
      <c r="AD115" s="12">
        <v>21</v>
      </c>
      <c r="AE115" s="12">
        <v>21</v>
      </c>
      <c r="AF115" s="12">
        <v>21</v>
      </c>
      <c r="AG115" s="12">
        <v>22</v>
      </c>
      <c r="AH115" s="13"/>
      <c r="AI115" s="21">
        <f t="shared" si="6"/>
        <v>680</v>
      </c>
      <c r="AJ115" s="276"/>
    </row>
    <row r="116" spans="2:36" ht="15.6" x14ac:dyDescent="0.3">
      <c r="B116" s="273"/>
      <c r="C116" s="25">
        <v>44835</v>
      </c>
      <c r="D116" s="12">
        <v>20</v>
      </c>
      <c r="E116" s="12">
        <v>24</v>
      </c>
      <c r="F116" s="12">
        <v>25</v>
      </c>
      <c r="G116" s="12">
        <v>25</v>
      </c>
      <c r="H116" s="12">
        <v>25</v>
      </c>
      <c r="I116" s="12">
        <v>25</v>
      </c>
      <c r="J116" s="12">
        <v>26</v>
      </c>
      <c r="K116" s="12">
        <v>20</v>
      </c>
      <c r="L116" s="12">
        <v>24</v>
      </c>
      <c r="M116" s="12">
        <v>21</v>
      </c>
      <c r="N116" s="12">
        <v>21</v>
      </c>
      <c r="O116" s="12">
        <v>25</v>
      </c>
      <c r="P116" s="12">
        <v>25</v>
      </c>
      <c r="Q116" s="12">
        <v>26</v>
      </c>
      <c r="R116" s="12">
        <v>20</v>
      </c>
      <c r="S116" s="12">
        <v>24</v>
      </c>
      <c r="T116" s="12">
        <v>25</v>
      </c>
      <c r="U116" s="12">
        <v>25</v>
      </c>
      <c r="V116" s="12">
        <v>25</v>
      </c>
      <c r="W116" s="12">
        <v>25</v>
      </c>
      <c r="X116" s="12">
        <v>26</v>
      </c>
      <c r="Y116" s="12">
        <v>20</v>
      </c>
      <c r="Z116" s="12">
        <v>24</v>
      </c>
      <c r="AA116" s="12">
        <v>25</v>
      </c>
      <c r="AB116" s="12">
        <v>25</v>
      </c>
      <c r="AC116" s="12">
        <v>25</v>
      </c>
      <c r="AD116" s="12">
        <v>25</v>
      </c>
      <c r="AE116" s="12">
        <v>26</v>
      </c>
      <c r="AF116" s="12">
        <v>20</v>
      </c>
      <c r="AG116" s="12">
        <v>21</v>
      </c>
      <c r="AH116" s="14">
        <v>23</v>
      </c>
      <c r="AI116" s="21">
        <f t="shared" si="6"/>
        <v>736</v>
      </c>
      <c r="AJ116" s="276"/>
    </row>
    <row r="117" spans="2:36" ht="15.6" x14ac:dyDescent="0.3">
      <c r="B117" s="273"/>
      <c r="C117" s="25">
        <v>44866</v>
      </c>
      <c r="D117" s="12">
        <v>27</v>
      </c>
      <c r="E117" s="12">
        <v>27</v>
      </c>
      <c r="F117" s="12">
        <v>27</v>
      </c>
      <c r="G117" s="12">
        <v>28</v>
      </c>
      <c r="H117" s="12">
        <v>21</v>
      </c>
      <c r="I117" s="12">
        <v>25</v>
      </c>
      <c r="J117" s="12">
        <v>21</v>
      </c>
      <c r="K117" s="12">
        <v>27</v>
      </c>
      <c r="L117" s="12">
        <v>26</v>
      </c>
      <c r="M117" s="12">
        <v>27</v>
      </c>
      <c r="N117" s="12">
        <v>21</v>
      </c>
      <c r="O117" s="12">
        <v>21</v>
      </c>
      <c r="P117" s="12">
        <v>25</v>
      </c>
      <c r="Q117" s="12">
        <v>27</v>
      </c>
      <c r="R117" s="12">
        <v>27</v>
      </c>
      <c r="S117" s="12">
        <v>27</v>
      </c>
      <c r="T117" s="12">
        <v>27</v>
      </c>
      <c r="U117" s="12">
        <v>28</v>
      </c>
      <c r="V117" s="12">
        <v>21</v>
      </c>
      <c r="W117" s="12">
        <v>25</v>
      </c>
      <c r="X117" s="12">
        <v>27</v>
      </c>
      <c r="Y117" s="12">
        <v>27</v>
      </c>
      <c r="Z117" s="12">
        <v>27</v>
      </c>
      <c r="AA117" s="12">
        <v>27</v>
      </c>
      <c r="AB117" s="12">
        <v>28</v>
      </c>
      <c r="AC117" s="12">
        <v>21</v>
      </c>
      <c r="AD117" s="12">
        <v>25</v>
      </c>
      <c r="AE117" s="12">
        <v>27</v>
      </c>
      <c r="AF117" s="12">
        <v>27</v>
      </c>
      <c r="AG117" s="12">
        <v>27</v>
      </c>
      <c r="AH117" s="13"/>
      <c r="AI117" s="21">
        <f t="shared" si="6"/>
        <v>768</v>
      </c>
      <c r="AJ117" s="276"/>
    </row>
    <row r="118" spans="2:36" ht="15.6" x14ac:dyDescent="0.3">
      <c r="B118" s="273"/>
      <c r="C118" s="25">
        <v>44896</v>
      </c>
      <c r="D118" s="12">
        <v>27</v>
      </c>
      <c r="E118" s="12">
        <v>28</v>
      </c>
      <c r="F118" s="12">
        <v>21</v>
      </c>
      <c r="G118" s="12">
        <v>25</v>
      </c>
      <c r="H118" s="12">
        <v>25</v>
      </c>
      <c r="I118" s="12">
        <v>27</v>
      </c>
      <c r="J118" s="12">
        <v>25</v>
      </c>
      <c r="K118" s="12">
        <v>28</v>
      </c>
      <c r="L118" s="12">
        <v>28</v>
      </c>
      <c r="M118" s="12">
        <v>21</v>
      </c>
      <c r="N118" s="12">
        <v>24</v>
      </c>
      <c r="O118" s="12">
        <v>27</v>
      </c>
      <c r="P118" s="12">
        <v>28</v>
      </c>
      <c r="Q118" s="12">
        <v>28</v>
      </c>
      <c r="R118" s="12">
        <v>28</v>
      </c>
      <c r="S118" s="12">
        <v>28</v>
      </c>
      <c r="T118" s="12">
        <v>21</v>
      </c>
      <c r="U118" s="12">
        <v>24</v>
      </c>
      <c r="V118" s="12">
        <v>28</v>
      </c>
      <c r="W118" s="12">
        <v>32.56</v>
      </c>
      <c r="X118" s="12">
        <v>32.56</v>
      </c>
      <c r="Y118" s="12">
        <v>31.56</v>
      </c>
      <c r="Z118" s="12">
        <v>32.56</v>
      </c>
      <c r="AA118" s="12">
        <v>21.92</v>
      </c>
      <c r="AB118" s="12">
        <v>24.92</v>
      </c>
      <c r="AC118" s="12">
        <v>32.56</v>
      </c>
      <c r="AD118" s="12">
        <v>32.56</v>
      </c>
      <c r="AE118" s="12">
        <v>32.56</v>
      </c>
      <c r="AF118" s="12">
        <v>32.56</v>
      </c>
      <c r="AG118" s="12">
        <v>32.56</v>
      </c>
      <c r="AH118" s="14">
        <v>21.92</v>
      </c>
      <c r="AI118" s="23">
        <f t="shared" si="6"/>
        <v>851.79999999999939</v>
      </c>
      <c r="AJ118" s="276"/>
    </row>
    <row r="119" spans="2:36" ht="15.6" x14ac:dyDescent="0.3">
      <c r="B119" s="273"/>
      <c r="C119" s="25">
        <v>44927</v>
      </c>
      <c r="D119" s="12">
        <v>25.92</v>
      </c>
      <c r="E119" s="12">
        <v>32.56</v>
      </c>
      <c r="F119" s="12">
        <v>32.56</v>
      </c>
      <c r="G119" s="12">
        <v>32.56</v>
      </c>
      <c r="H119" s="12">
        <v>33.56</v>
      </c>
      <c r="I119" s="12">
        <v>26.92</v>
      </c>
      <c r="J119" s="12">
        <v>24.92</v>
      </c>
      <c r="K119" s="12">
        <v>27.92</v>
      </c>
      <c r="L119" s="12">
        <v>32.56</v>
      </c>
      <c r="M119" s="12">
        <v>32.56</v>
      </c>
      <c r="N119" s="12">
        <v>32.56</v>
      </c>
      <c r="O119" s="12">
        <v>32.56</v>
      </c>
      <c r="P119" s="12">
        <v>32.56</v>
      </c>
      <c r="Q119" s="12">
        <v>24.92</v>
      </c>
      <c r="R119" s="12">
        <v>27.92</v>
      </c>
      <c r="S119" s="12">
        <v>32.56</v>
      </c>
      <c r="T119" s="12">
        <v>32.56</v>
      </c>
      <c r="U119" s="12">
        <v>32.56</v>
      </c>
      <c r="V119" s="12">
        <v>32.56</v>
      </c>
      <c r="W119" s="12">
        <v>32.56</v>
      </c>
      <c r="X119" s="12">
        <v>23.92</v>
      </c>
      <c r="Y119" s="12">
        <v>27.92</v>
      </c>
      <c r="Z119" s="12">
        <v>32.56</v>
      </c>
      <c r="AA119" s="12">
        <v>32.56</v>
      </c>
      <c r="AB119" s="12">
        <v>31.56</v>
      </c>
      <c r="AC119" s="12">
        <v>32.56</v>
      </c>
      <c r="AD119" s="12">
        <v>32.56</v>
      </c>
      <c r="AE119" s="12">
        <v>25.92</v>
      </c>
      <c r="AF119" s="12">
        <v>27.92</v>
      </c>
      <c r="AG119" s="12">
        <v>32.56</v>
      </c>
      <c r="AH119" s="14">
        <v>32.56</v>
      </c>
      <c r="AI119" s="23">
        <f t="shared" si="6"/>
        <v>947.95999999999935</v>
      </c>
      <c r="AJ119" s="276"/>
    </row>
    <row r="120" spans="2:36" ht="15.6" x14ac:dyDescent="0.3">
      <c r="B120" s="273"/>
      <c r="C120" s="25">
        <v>44958</v>
      </c>
      <c r="D120" s="12">
        <v>32.664000000000001</v>
      </c>
      <c r="E120" s="12">
        <v>32.664000000000001</v>
      </c>
      <c r="F120" s="12">
        <v>33.664000000000001</v>
      </c>
      <c r="G120" s="12">
        <v>25.998000000000001</v>
      </c>
      <c r="H120" s="12">
        <v>27.998000000000001</v>
      </c>
      <c r="I120" s="12">
        <v>32.664000000000001</v>
      </c>
      <c r="J120" s="12">
        <v>32.664000000000001</v>
      </c>
      <c r="K120" s="12">
        <v>32.664000000000001</v>
      </c>
      <c r="L120" s="12">
        <v>22.664000000000001</v>
      </c>
      <c r="M120" s="12">
        <v>33.664000000000001</v>
      </c>
      <c r="N120" s="12">
        <v>25.998000000000001</v>
      </c>
      <c r="O120" s="12">
        <v>27.998000000000001</v>
      </c>
      <c r="P120" s="12">
        <v>32.664000000000001</v>
      </c>
      <c r="Q120" s="12">
        <v>32.664000000000001</v>
      </c>
      <c r="R120" s="12">
        <v>32.664000000000001</v>
      </c>
      <c r="S120" s="12">
        <v>32.664000000000001</v>
      </c>
      <c r="T120" s="12">
        <v>33.664000000000001</v>
      </c>
      <c r="U120" s="12">
        <v>25.998000000000001</v>
      </c>
      <c r="V120" s="12">
        <v>27.998000000000001</v>
      </c>
      <c r="W120" s="12">
        <v>32.664000000000001</v>
      </c>
      <c r="X120" s="12">
        <v>32.664000000000001</v>
      </c>
      <c r="Y120" s="12">
        <v>32.664000000000001</v>
      </c>
      <c r="Z120" s="12">
        <v>32.664000000000001</v>
      </c>
      <c r="AA120" s="12">
        <v>33.664000000000001</v>
      </c>
      <c r="AB120" s="12">
        <v>25.998000000000001</v>
      </c>
      <c r="AC120" s="12">
        <v>27.998000000000001</v>
      </c>
      <c r="AD120" s="12">
        <v>32.664000000000001</v>
      </c>
      <c r="AE120" s="12">
        <v>32.664000000000001</v>
      </c>
      <c r="AF120" s="12"/>
      <c r="AG120" s="12"/>
      <c r="AH120" s="13"/>
      <c r="AI120" s="23">
        <f t="shared" si="6"/>
        <v>863.26400000000001</v>
      </c>
      <c r="AJ120" s="276"/>
    </row>
    <row r="121" spans="2:36" ht="15.6" x14ac:dyDescent="0.3">
      <c r="B121" s="273"/>
      <c r="C121" s="25">
        <v>44986</v>
      </c>
      <c r="D121" s="12">
        <v>32.56</v>
      </c>
      <c r="E121" s="12">
        <v>32.56</v>
      </c>
      <c r="F121" s="12">
        <v>33.56</v>
      </c>
      <c r="G121" s="12">
        <v>25.92</v>
      </c>
      <c r="H121" s="12">
        <v>27.92</v>
      </c>
      <c r="I121" s="12">
        <v>32.56</v>
      </c>
      <c r="J121" s="12">
        <v>32.56</v>
      </c>
      <c r="K121" s="12">
        <v>32.56</v>
      </c>
      <c r="L121" s="12">
        <v>32.56</v>
      </c>
      <c r="M121" s="12">
        <v>33.56</v>
      </c>
      <c r="N121" s="12">
        <v>25.92</v>
      </c>
      <c r="O121" s="12">
        <v>27.92</v>
      </c>
      <c r="P121" s="12">
        <v>32.56</v>
      </c>
      <c r="Q121" s="12">
        <v>32.56</v>
      </c>
      <c r="R121" s="12">
        <v>32.56</v>
      </c>
      <c r="S121" s="12">
        <v>32.56</v>
      </c>
      <c r="T121" s="12">
        <v>33.56</v>
      </c>
      <c r="U121" s="12">
        <v>25.92</v>
      </c>
      <c r="V121" s="12">
        <v>26.92</v>
      </c>
      <c r="W121" s="12">
        <v>32.56</v>
      </c>
      <c r="X121" s="12">
        <v>32.56</v>
      </c>
      <c r="Y121" s="12">
        <v>32.56</v>
      </c>
      <c r="Z121" s="12">
        <v>32.56</v>
      </c>
      <c r="AA121" s="12">
        <v>33.56</v>
      </c>
      <c r="AB121" s="12">
        <v>25.92</v>
      </c>
      <c r="AC121" s="12">
        <v>27.92</v>
      </c>
      <c r="AD121" s="12">
        <v>35.56</v>
      </c>
      <c r="AE121" s="12">
        <v>35.56</v>
      </c>
      <c r="AF121" s="12">
        <v>35.56</v>
      </c>
      <c r="AG121" s="12">
        <v>35.56</v>
      </c>
      <c r="AH121" s="14">
        <v>36.56</v>
      </c>
      <c r="AI121" s="23">
        <f t="shared" si="6"/>
        <v>983.23999999999933</v>
      </c>
    </row>
    <row r="122" spans="2:36" ht="15.6" x14ac:dyDescent="0.3">
      <c r="B122" s="273"/>
      <c r="C122" s="25">
        <v>45017</v>
      </c>
      <c r="D122" s="12"/>
      <c r="E122" s="12"/>
      <c r="F122" s="12"/>
      <c r="G122" s="12"/>
      <c r="H122" s="12"/>
      <c r="I122" s="12"/>
      <c r="J122" s="12"/>
      <c r="K122" s="12"/>
      <c r="L122" s="12"/>
      <c r="M122" s="12"/>
      <c r="N122" s="12"/>
      <c r="O122" s="12"/>
      <c r="P122" s="12"/>
      <c r="Q122" s="12"/>
      <c r="R122" s="12"/>
      <c r="S122" s="12"/>
      <c r="T122" s="12"/>
      <c r="U122" s="12"/>
      <c r="V122" s="12"/>
      <c r="W122" s="12"/>
      <c r="X122" s="12"/>
      <c r="Y122" s="12"/>
      <c r="Z122" s="12"/>
      <c r="AA122" s="12"/>
      <c r="AB122" s="12"/>
      <c r="AC122" s="12"/>
      <c r="AD122" s="12"/>
      <c r="AE122" s="12"/>
      <c r="AF122" s="12"/>
      <c r="AG122" s="12"/>
      <c r="AH122" s="13"/>
      <c r="AI122" s="23"/>
    </row>
    <row r="123" spans="2:36" ht="16.2" thickBot="1" x14ac:dyDescent="0.35">
      <c r="B123" s="273"/>
      <c r="C123" s="33">
        <v>45047</v>
      </c>
      <c r="D123" s="34"/>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5"/>
      <c r="AI123" s="23"/>
    </row>
    <row r="124" spans="2:36" ht="15.6" x14ac:dyDescent="0.3">
      <c r="B124" s="272">
        <v>11</v>
      </c>
      <c r="C124" s="33">
        <v>45078</v>
      </c>
      <c r="D124" s="12">
        <f>(17*2)+3</f>
        <v>37</v>
      </c>
      <c r="E124" s="12">
        <f t="shared" ref="E124:AH124" si="10">(17*2)+3</f>
        <v>37</v>
      </c>
      <c r="F124" s="12">
        <f t="shared" si="10"/>
        <v>37</v>
      </c>
      <c r="G124" s="12">
        <f t="shared" si="10"/>
        <v>37</v>
      </c>
      <c r="H124" s="12">
        <f t="shared" si="10"/>
        <v>37</v>
      </c>
      <c r="I124" s="12">
        <f t="shared" si="10"/>
        <v>37</v>
      </c>
      <c r="J124" s="12">
        <f t="shared" si="10"/>
        <v>37</v>
      </c>
      <c r="K124" s="12">
        <f t="shared" si="10"/>
        <v>37</v>
      </c>
      <c r="L124" s="12">
        <f t="shared" si="10"/>
        <v>37</v>
      </c>
      <c r="M124" s="12">
        <f t="shared" si="10"/>
        <v>37</v>
      </c>
      <c r="N124" s="12">
        <f t="shared" si="10"/>
        <v>37</v>
      </c>
      <c r="O124" s="12">
        <f t="shared" si="10"/>
        <v>37</v>
      </c>
      <c r="P124" s="12">
        <f t="shared" si="10"/>
        <v>37</v>
      </c>
      <c r="Q124" s="12">
        <f t="shared" si="10"/>
        <v>37</v>
      </c>
      <c r="R124" s="12">
        <f t="shared" si="10"/>
        <v>37</v>
      </c>
      <c r="S124" s="12">
        <f t="shared" si="10"/>
        <v>37</v>
      </c>
      <c r="T124" s="12">
        <f t="shared" si="10"/>
        <v>37</v>
      </c>
      <c r="U124" s="12">
        <f t="shared" si="10"/>
        <v>37</v>
      </c>
      <c r="V124" s="12">
        <f t="shared" si="10"/>
        <v>37</v>
      </c>
      <c r="W124" s="12">
        <f t="shared" si="10"/>
        <v>37</v>
      </c>
      <c r="X124" s="12">
        <f t="shared" si="10"/>
        <v>37</v>
      </c>
      <c r="Y124" s="12">
        <f t="shared" si="10"/>
        <v>37</v>
      </c>
      <c r="Z124" s="12">
        <f t="shared" si="10"/>
        <v>37</v>
      </c>
      <c r="AA124" s="12">
        <f t="shared" si="10"/>
        <v>37</v>
      </c>
      <c r="AB124" s="12">
        <f t="shared" si="10"/>
        <v>37</v>
      </c>
      <c r="AC124" s="12">
        <f t="shared" si="10"/>
        <v>37</v>
      </c>
      <c r="AD124" s="12">
        <f t="shared" si="10"/>
        <v>37</v>
      </c>
      <c r="AE124" s="12">
        <f t="shared" si="10"/>
        <v>37</v>
      </c>
      <c r="AF124" s="12">
        <f t="shared" si="10"/>
        <v>37</v>
      </c>
      <c r="AG124" s="12">
        <f t="shared" si="10"/>
        <v>37</v>
      </c>
      <c r="AH124" s="14">
        <f t="shared" si="10"/>
        <v>37</v>
      </c>
      <c r="AI124" s="23">
        <f>SUM(D124:AH124)</f>
        <v>1147</v>
      </c>
      <c r="AJ124" t="s">
        <v>4</v>
      </c>
    </row>
    <row r="125" spans="2:36" ht="15.6" x14ac:dyDescent="0.3">
      <c r="B125" s="273"/>
      <c r="C125" s="25">
        <v>45108</v>
      </c>
      <c r="D125" s="12"/>
      <c r="E125" s="12"/>
      <c r="F125" s="12"/>
      <c r="G125" s="12"/>
      <c r="H125" s="12"/>
      <c r="I125" s="12"/>
      <c r="J125" s="12"/>
      <c r="K125" s="12"/>
      <c r="L125" s="12"/>
      <c r="M125" s="12"/>
      <c r="N125" s="12"/>
      <c r="O125" s="12"/>
      <c r="P125" s="12"/>
      <c r="Q125" s="12"/>
      <c r="R125" s="12"/>
      <c r="S125" s="12"/>
      <c r="T125" s="12"/>
      <c r="U125" s="12"/>
      <c r="V125" s="12"/>
      <c r="W125" s="12"/>
      <c r="X125" s="12"/>
      <c r="Y125" s="12"/>
      <c r="Z125" s="12"/>
      <c r="AA125" s="12"/>
      <c r="AB125" s="12"/>
      <c r="AC125" s="12"/>
      <c r="AD125" s="12"/>
      <c r="AE125" s="12"/>
      <c r="AF125" s="12"/>
      <c r="AG125" s="12"/>
      <c r="AH125" s="14"/>
      <c r="AI125" s="23"/>
    </row>
    <row r="126" spans="2:36" ht="15.6" x14ac:dyDescent="0.3">
      <c r="B126" s="273"/>
      <c r="C126" s="25">
        <v>45139</v>
      </c>
      <c r="D126" s="12"/>
      <c r="E126" s="12"/>
      <c r="F126" s="12"/>
      <c r="G126" s="12"/>
      <c r="H126" s="12"/>
      <c r="I126" s="12"/>
      <c r="J126" s="12"/>
      <c r="K126" s="12"/>
      <c r="L126" s="12"/>
      <c r="M126" s="12"/>
      <c r="N126" s="12"/>
      <c r="O126" s="12"/>
      <c r="P126" s="12"/>
      <c r="Q126" s="12"/>
      <c r="R126" s="12"/>
      <c r="S126" s="12"/>
      <c r="T126" s="12"/>
      <c r="U126" s="12"/>
      <c r="V126" s="12"/>
      <c r="W126" s="12"/>
      <c r="X126" s="12"/>
      <c r="Y126" s="12"/>
      <c r="Z126" s="12"/>
      <c r="AA126" s="12"/>
      <c r="AB126" s="12"/>
      <c r="AC126" s="12"/>
      <c r="AD126" s="12"/>
      <c r="AE126" s="12"/>
      <c r="AF126" s="12"/>
      <c r="AG126" s="12"/>
      <c r="AH126" s="14"/>
      <c r="AI126" s="23"/>
    </row>
    <row r="127" spans="2:36" ht="15.6" x14ac:dyDescent="0.3">
      <c r="B127" s="273"/>
      <c r="C127" s="25">
        <v>45170</v>
      </c>
      <c r="D127" s="12"/>
      <c r="E127" s="12"/>
      <c r="F127" s="12"/>
      <c r="G127" s="12"/>
      <c r="H127" s="12"/>
      <c r="I127" s="12"/>
      <c r="J127" s="12"/>
      <c r="K127" s="12"/>
      <c r="L127" s="12"/>
      <c r="M127" s="12"/>
      <c r="N127" s="12"/>
      <c r="O127" s="12"/>
      <c r="P127" s="12"/>
      <c r="Q127" s="12"/>
      <c r="R127" s="12"/>
      <c r="S127" s="12"/>
      <c r="T127" s="12"/>
      <c r="U127" s="12"/>
      <c r="V127" s="12"/>
      <c r="W127" s="12"/>
      <c r="X127" s="12"/>
      <c r="Y127" s="12"/>
      <c r="Z127" s="12"/>
      <c r="AA127" s="12"/>
      <c r="AB127" s="12"/>
      <c r="AC127" s="12"/>
      <c r="AD127" s="12"/>
      <c r="AE127" s="12"/>
      <c r="AF127" s="12"/>
      <c r="AG127" s="12"/>
      <c r="AH127" s="14"/>
      <c r="AI127" s="23"/>
    </row>
    <row r="128" spans="2:36" ht="15.6" x14ac:dyDescent="0.3">
      <c r="B128" s="273"/>
      <c r="C128" s="25">
        <v>45200</v>
      </c>
      <c r="D128" s="12"/>
      <c r="E128" s="12"/>
      <c r="F128" s="12"/>
      <c r="G128" s="12"/>
      <c r="H128" s="12"/>
      <c r="I128" s="12"/>
      <c r="J128" s="12"/>
      <c r="K128" s="12"/>
      <c r="L128" s="12"/>
      <c r="M128" s="12"/>
      <c r="N128" s="12"/>
      <c r="O128" s="12"/>
      <c r="P128" s="12"/>
      <c r="Q128" s="12"/>
      <c r="R128" s="12"/>
      <c r="S128" s="12"/>
      <c r="T128" s="12"/>
      <c r="U128" s="12"/>
      <c r="V128" s="12"/>
      <c r="W128" s="12"/>
      <c r="X128" s="12"/>
      <c r="Y128" s="12"/>
      <c r="Z128" s="12"/>
      <c r="AA128" s="12"/>
      <c r="AB128" s="12"/>
      <c r="AC128" s="12"/>
      <c r="AD128" s="12"/>
      <c r="AE128" s="12"/>
      <c r="AF128" s="12"/>
      <c r="AG128" s="12"/>
      <c r="AH128" s="14"/>
      <c r="AI128" s="23"/>
    </row>
    <row r="129" spans="2:35" ht="15.6" x14ac:dyDescent="0.3">
      <c r="B129" s="273"/>
      <c r="C129" s="25">
        <v>45231</v>
      </c>
      <c r="D129" s="12"/>
      <c r="E129" s="12"/>
      <c r="F129" s="12"/>
      <c r="G129" s="12"/>
      <c r="H129" s="12"/>
      <c r="I129" s="12"/>
      <c r="J129" s="12"/>
      <c r="K129" s="12"/>
      <c r="L129" s="12"/>
      <c r="M129" s="12"/>
      <c r="N129" s="12"/>
      <c r="O129" s="12"/>
      <c r="P129" s="12"/>
      <c r="Q129" s="12"/>
      <c r="R129" s="12"/>
      <c r="S129" s="12"/>
      <c r="T129" s="12"/>
      <c r="U129" s="12"/>
      <c r="V129" s="12"/>
      <c r="W129" s="12"/>
      <c r="X129" s="12"/>
      <c r="Y129" s="12"/>
      <c r="Z129" s="12"/>
      <c r="AA129" s="12"/>
      <c r="AB129" s="12"/>
      <c r="AC129" s="12"/>
      <c r="AD129" s="12"/>
      <c r="AE129" s="12"/>
      <c r="AF129" s="12"/>
      <c r="AG129" s="12"/>
      <c r="AH129" s="13"/>
      <c r="AI129" s="23"/>
    </row>
    <row r="130" spans="2:35" ht="15.6" x14ac:dyDescent="0.3">
      <c r="B130" s="273"/>
      <c r="C130" s="25">
        <v>45261</v>
      </c>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2"/>
      <c r="AB130" s="12"/>
      <c r="AC130" s="12"/>
      <c r="AD130" s="12"/>
      <c r="AE130" s="12"/>
      <c r="AF130" s="12"/>
      <c r="AG130" s="12"/>
      <c r="AH130" s="14"/>
      <c r="AI130" s="23"/>
    </row>
    <row r="131" spans="2:35" ht="15.6" x14ac:dyDescent="0.3">
      <c r="B131" s="273"/>
      <c r="C131" s="25">
        <v>45292</v>
      </c>
      <c r="D131" s="12"/>
      <c r="E131" s="12"/>
      <c r="F131" s="12"/>
      <c r="G131" s="12"/>
      <c r="H131" s="12"/>
      <c r="I131" s="12"/>
      <c r="J131" s="12"/>
      <c r="K131" s="12"/>
      <c r="L131" s="12"/>
      <c r="M131" s="12"/>
      <c r="N131" s="12"/>
      <c r="O131" s="12"/>
      <c r="P131" s="12"/>
      <c r="Q131" s="12"/>
      <c r="R131" s="12"/>
      <c r="S131" s="12"/>
      <c r="T131" s="12"/>
      <c r="U131" s="12"/>
      <c r="V131" s="12"/>
      <c r="W131" s="12"/>
      <c r="X131" s="12"/>
      <c r="Y131" s="12"/>
      <c r="Z131" s="12"/>
      <c r="AA131" s="12"/>
      <c r="AB131" s="12"/>
      <c r="AC131" s="12"/>
      <c r="AD131" s="12"/>
      <c r="AE131" s="12"/>
      <c r="AF131" s="12"/>
      <c r="AG131" s="12"/>
      <c r="AH131" s="14"/>
      <c r="AI131" s="23"/>
    </row>
    <row r="132" spans="2:35" ht="15.6" x14ac:dyDescent="0.3">
      <c r="B132" s="273"/>
      <c r="C132" s="25">
        <v>45323</v>
      </c>
      <c r="D132" s="12"/>
      <c r="E132" s="12"/>
      <c r="F132" s="12"/>
      <c r="G132" s="12"/>
      <c r="H132" s="12"/>
      <c r="I132" s="12"/>
      <c r="J132" s="12"/>
      <c r="K132" s="12"/>
      <c r="L132" s="12"/>
      <c r="M132" s="12"/>
      <c r="N132" s="12"/>
      <c r="O132" s="12"/>
      <c r="P132" s="12"/>
      <c r="Q132" s="12"/>
      <c r="R132" s="12"/>
      <c r="S132" s="12"/>
      <c r="T132" s="12"/>
      <c r="U132" s="12"/>
      <c r="V132" s="12"/>
      <c r="W132" s="12"/>
      <c r="X132" s="12"/>
      <c r="Y132" s="12"/>
      <c r="Z132" s="12"/>
      <c r="AA132" s="12"/>
      <c r="AB132" s="12"/>
      <c r="AC132" s="12"/>
      <c r="AD132" s="12"/>
      <c r="AE132" s="12"/>
      <c r="AF132" s="12"/>
      <c r="AG132" s="12"/>
      <c r="AH132" s="13"/>
      <c r="AI132" s="23"/>
    </row>
    <row r="133" spans="2:35" ht="15.6" x14ac:dyDescent="0.3">
      <c r="B133" s="273"/>
      <c r="C133" s="25">
        <v>45352</v>
      </c>
      <c r="D133" s="12"/>
      <c r="E133" s="12"/>
      <c r="F133" s="12"/>
      <c r="G133" s="12"/>
      <c r="H133" s="12"/>
      <c r="I133" s="12"/>
      <c r="J133" s="12"/>
      <c r="K133" s="12"/>
      <c r="L133" s="12"/>
      <c r="M133" s="12"/>
      <c r="N133" s="12"/>
      <c r="O133" s="12"/>
      <c r="P133" s="12"/>
      <c r="Q133" s="12"/>
      <c r="R133" s="12"/>
      <c r="S133" s="12"/>
      <c r="T133" s="12"/>
      <c r="U133" s="12"/>
      <c r="V133" s="12"/>
      <c r="W133" s="12"/>
      <c r="X133" s="12"/>
      <c r="Y133" s="12"/>
      <c r="Z133" s="12"/>
      <c r="AA133" s="12"/>
      <c r="AB133" s="12"/>
      <c r="AC133" s="12"/>
      <c r="AD133" s="12"/>
      <c r="AE133" s="12"/>
      <c r="AF133" s="12"/>
      <c r="AG133" s="12"/>
      <c r="AH133" s="14"/>
      <c r="AI133" s="23"/>
    </row>
    <row r="134" spans="2:35" ht="15.6" x14ac:dyDescent="0.3">
      <c r="B134" s="273"/>
      <c r="C134" s="25">
        <v>45383</v>
      </c>
      <c r="D134" s="12"/>
      <c r="E134" s="12"/>
      <c r="F134" s="12"/>
      <c r="G134" s="12"/>
      <c r="H134" s="12"/>
      <c r="I134" s="12"/>
      <c r="J134" s="12"/>
      <c r="K134" s="12"/>
      <c r="L134" s="12"/>
      <c r="M134" s="12"/>
      <c r="N134" s="12"/>
      <c r="O134" s="12"/>
      <c r="P134" s="12"/>
      <c r="Q134" s="12"/>
      <c r="R134" s="12"/>
      <c r="S134" s="12"/>
      <c r="T134" s="12"/>
      <c r="U134" s="12"/>
      <c r="V134" s="12"/>
      <c r="W134" s="12"/>
      <c r="X134" s="12"/>
      <c r="Y134" s="12"/>
      <c r="Z134" s="12"/>
      <c r="AA134" s="12"/>
      <c r="AB134" s="12"/>
      <c r="AC134" s="12"/>
      <c r="AD134" s="12"/>
      <c r="AE134" s="12"/>
      <c r="AF134" s="12"/>
      <c r="AG134" s="12"/>
      <c r="AH134" s="13"/>
      <c r="AI134" s="23"/>
    </row>
    <row r="135" spans="2:35" ht="16.2" thickBot="1" x14ac:dyDescent="0.35">
      <c r="B135" s="274"/>
      <c r="C135" s="26">
        <v>45413</v>
      </c>
      <c r="D135" s="18"/>
      <c r="E135" s="18"/>
      <c r="F135" s="18"/>
      <c r="G135" s="18"/>
      <c r="H135" s="18"/>
      <c r="I135" s="18"/>
      <c r="J135" s="18"/>
      <c r="K135" s="18"/>
      <c r="L135" s="18"/>
      <c r="M135" s="18"/>
      <c r="N135" s="18"/>
      <c r="O135" s="18"/>
      <c r="P135" s="18"/>
      <c r="Q135" s="18"/>
      <c r="R135" s="18"/>
      <c r="S135" s="18"/>
      <c r="T135" s="18"/>
      <c r="U135" s="18"/>
      <c r="V135" s="18"/>
      <c r="W135" s="18"/>
      <c r="X135" s="18"/>
      <c r="Y135" s="18"/>
      <c r="Z135" s="18"/>
      <c r="AA135" s="18"/>
      <c r="AB135" s="18"/>
      <c r="AC135" s="18"/>
      <c r="AD135" s="18"/>
      <c r="AE135" s="18"/>
      <c r="AF135" s="18"/>
      <c r="AG135" s="18"/>
      <c r="AH135" s="19"/>
      <c r="AI135" s="36"/>
    </row>
  </sheetData>
  <autoFilter ref="B2:AI123" xr:uid="{22511F8D-155B-4482-92B8-FEAB50CBA09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filterColumn colId="24" showButton="0"/>
    <filterColumn colId="25" showButton="0"/>
    <filterColumn colId="26" showButton="0"/>
    <filterColumn colId="27" showButton="0"/>
    <filterColumn colId="28" showButton="0"/>
    <filterColumn colId="29" showButton="0"/>
    <filterColumn colId="30" showButton="0"/>
    <filterColumn colId="31" showButton="0"/>
  </autoFilter>
  <mergeCells count="25">
    <mergeCell ref="AJ4:AJ15"/>
    <mergeCell ref="B2:B3"/>
    <mergeCell ref="C2:C3"/>
    <mergeCell ref="D2:AH2"/>
    <mergeCell ref="AI2:AI3"/>
    <mergeCell ref="B4:B15"/>
    <mergeCell ref="B16:B27"/>
    <mergeCell ref="AJ16:AJ27"/>
    <mergeCell ref="B28:B39"/>
    <mergeCell ref="AJ28:AJ39"/>
    <mergeCell ref="B40:B51"/>
    <mergeCell ref="AJ40:AJ51"/>
    <mergeCell ref="B52:B63"/>
    <mergeCell ref="AJ52:AJ63"/>
    <mergeCell ref="B64:B75"/>
    <mergeCell ref="AJ64:AJ75"/>
    <mergeCell ref="B76:B87"/>
    <mergeCell ref="AJ76:AJ87"/>
    <mergeCell ref="B124:B135"/>
    <mergeCell ref="B88:B99"/>
    <mergeCell ref="AJ88:AJ99"/>
    <mergeCell ref="B100:B111"/>
    <mergeCell ref="AJ100:AJ111"/>
    <mergeCell ref="B112:B123"/>
    <mergeCell ref="AJ112:AJ120"/>
  </mergeCells>
  <conditionalFormatting sqref="D4:AH123 D125:AH135">
    <cfRule type="colorScale" priority="6">
      <colorScale>
        <cfvo type="min"/>
        <cfvo type="percentile" val="50"/>
        <cfvo type="max"/>
        <color rgb="FF63BE7B"/>
        <color rgb="FFFFEB84"/>
        <color rgb="FFF8696B"/>
      </colorScale>
    </cfRule>
  </conditionalFormatting>
  <conditionalFormatting sqref="D4:AH123 AK12 D125:AH135">
    <cfRule type="colorScale" priority="7">
      <colorScale>
        <cfvo type="min"/>
        <cfvo type="percentile" val="50"/>
        <cfvo type="max"/>
        <color rgb="FFF8696B"/>
        <color rgb="FFFFEB84"/>
        <color rgb="FF63BE7B"/>
      </colorScale>
    </cfRule>
    <cfRule type="colorScale" priority="8">
      <colorScale>
        <cfvo type="min"/>
        <cfvo type="max"/>
        <color rgb="FFFCFCFF"/>
        <color rgb="FFF8696B"/>
      </colorScale>
    </cfRule>
  </conditionalFormatting>
  <conditionalFormatting sqref="D124:AH124">
    <cfRule type="colorScale" priority="2">
      <colorScale>
        <cfvo type="min"/>
        <cfvo type="percentile" val="50"/>
        <cfvo type="max"/>
        <color rgb="FF63BE7B"/>
        <color rgb="FFFFEB84"/>
        <color rgb="FFF8696B"/>
      </colorScale>
    </cfRule>
    <cfRule type="colorScale" priority="3">
      <colorScale>
        <cfvo type="min"/>
        <cfvo type="percentile" val="50"/>
        <cfvo type="max"/>
        <color rgb="FFF8696B"/>
        <color rgb="FFFFEB84"/>
        <color rgb="FF63BE7B"/>
      </colorScale>
    </cfRule>
    <cfRule type="colorScale" priority="4">
      <colorScale>
        <cfvo type="min"/>
        <cfvo type="max"/>
        <color rgb="FFFCFCFF"/>
        <color rgb="FFF8696B"/>
      </colorScale>
    </cfRule>
  </conditionalFormatting>
  <conditionalFormatting sqref="AI124">
    <cfRule type="colorScale" priority="1">
      <colorScale>
        <cfvo type="min"/>
        <cfvo type="percentile" val="50"/>
        <cfvo type="max"/>
        <color rgb="FF63BE7B"/>
        <color rgb="FFFFEB84"/>
        <color rgb="FFF8696B"/>
      </colorScale>
    </cfRule>
  </conditionalFormatting>
  <conditionalFormatting sqref="AI125:AI135 AI4:AI123">
    <cfRule type="colorScale" priority="5">
      <colorScale>
        <cfvo type="min"/>
        <cfvo type="percentile" val="50"/>
        <cfvo type="max"/>
        <color rgb="FF63BE7B"/>
        <color rgb="FFFFEB84"/>
        <color rgb="FFF8696B"/>
      </colorScale>
    </cfRule>
  </conditionalFormatting>
  <pageMargins left="0.7" right="0.7" top="0.75" bottom="0.75" header="0.3" footer="0.3"/>
  <pageSetup paperSize="9" orientation="landscape" horizontalDpi="300" verticalDpi="300"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78069-F709-4DB7-94EA-4FA4D69F87F7}">
  <sheetPr codeName="Hoja26">
    <pageSetUpPr fitToPage="1"/>
  </sheetPr>
  <dimension ref="B1:AQ42"/>
  <sheetViews>
    <sheetView showGridLines="0" zoomScale="70" zoomScaleNormal="70" workbookViewId="0">
      <selection activeCell="G38" sqref="G38"/>
    </sheetView>
  </sheetViews>
  <sheetFormatPr baseColWidth="10" defaultColWidth="11.44140625" defaultRowHeight="13.2" x14ac:dyDescent="0.25"/>
  <cols>
    <col min="1" max="1" width="2.21875" style="38" customWidth="1"/>
    <col min="2" max="2" width="11.77734375" style="37" customWidth="1"/>
    <col min="3" max="3" width="20.77734375" style="38" customWidth="1"/>
    <col min="4" max="4" width="25.55468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22.05"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09">
        <v>36526</v>
      </c>
      <c r="C4" s="310"/>
      <c r="D4" s="311"/>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296" t="s">
        <v>7</v>
      </c>
      <c r="C5" s="297"/>
      <c r="D5" s="298"/>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299" t="s">
        <v>9</v>
      </c>
      <c r="C6" s="300"/>
      <c r="D6" s="301"/>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210" t="s">
        <v>10</v>
      </c>
      <c r="C7" s="211" t="s">
        <v>7</v>
      </c>
      <c r="D7" s="212" t="s">
        <v>11</v>
      </c>
      <c r="F7" s="318">
        <f>B4</f>
        <v>36526</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x14ac:dyDescent="0.3">
      <c r="B8" s="95">
        <v>1</v>
      </c>
      <c r="C8" s="173"/>
      <c r="D8" s="52"/>
      <c r="E8" s="38"/>
      <c r="F8" s="319"/>
      <c r="G8" s="154" t="s">
        <v>12</v>
      </c>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c r="D9" s="57"/>
      <c r="E9" s="38"/>
      <c r="F9" s="319"/>
      <c r="G9" s="159" t="s">
        <v>7</v>
      </c>
      <c r="H9" s="163">
        <f t="array" ref="H9:AL9">TRANSPOSE(C8:C38)</f>
        <v>0</v>
      </c>
      <c r="I9" s="163">
        <v>0</v>
      </c>
      <c r="J9" s="163">
        <v>0</v>
      </c>
      <c r="K9" s="163">
        <v>0</v>
      </c>
      <c r="L9" s="163">
        <v>0</v>
      </c>
      <c r="M9" s="163">
        <v>0</v>
      </c>
      <c r="N9" s="163">
        <v>0</v>
      </c>
      <c r="O9" s="163">
        <v>0</v>
      </c>
      <c r="P9" s="163">
        <v>0</v>
      </c>
      <c r="Q9" s="163">
        <v>0</v>
      </c>
      <c r="R9" s="163">
        <v>0</v>
      </c>
      <c r="S9" s="163">
        <v>0</v>
      </c>
      <c r="T9" s="163">
        <v>0</v>
      </c>
      <c r="U9" s="163">
        <v>0</v>
      </c>
      <c r="V9" s="163">
        <v>0</v>
      </c>
      <c r="W9" s="163">
        <v>0</v>
      </c>
      <c r="X9" s="163">
        <v>0</v>
      </c>
      <c r="Y9" s="163">
        <v>5</v>
      </c>
      <c r="Z9" s="163">
        <v>0</v>
      </c>
      <c r="AA9" s="163">
        <v>0</v>
      </c>
      <c r="AB9" s="163">
        <v>0</v>
      </c>
      <c r="AC9" s="163">
        <v>0</v>
      </c>
      <c r="AD9" s="163">
        <v>0</v>
      </c>
      <c r="AE9" s="163">
        <v>0</v>
      </c>
      <c r="AF9" s="163">
        <v>0</v>
      </c>
      <c r="AG9" s="163">
        <v>0</v>
      </c>
      <c r="AH9" s="163">
        <v>0</v>
      </c>
      <c r="AI9" s="163">
        <v>0</v>
      </c>
      <c r="AJ9" s="163">
        <v>0</v>
      </c>
      <c r="AK9" s="163">
        <v>0</v>
      </c>
      <c r="AL9" s="164">
        <v>0</v>
      </c>
    </row>
    <row r="10" spans="2:43" s="40" customFormat="1" ht="18" customHeight="1" x14ac:dyDescent="0.3">
      <c r="B10" s="56">
        <v>3</v>
      </c>
      <c r="C10" s="174"/>
      <c r="D10" s="57"/>
      <c r="E10" s="38"/>
      <c r="F10" s="319"/>
      <c r="G10" s="159" t="s">
        <v>11</v>
      </c>
      <c r="H10" s="163">
        <f t="array" ref="H10:AL10">TRANSPOSE(D8:D38)</f>
        <v>0</v>
      </c>
      <c r="I10" s="163">
        <v>0</v>
      </c>
      <c r="J10" s="163">
        <v>0</v>
      </c>
      <c r="K10" s="163">
        <v>0</v>
      </c>
      <c r="L10" s="163">
        <v>0</v>
      </c>
      <c r="M10" s="163">
        <v>0</v>
      </c>
      <c r="N10" s="163">
        <v>0</v>
      </c>
      <c r="O10" s="163">
        <v>0</v>
      </c>
      <c r="P10" s="163">
        <v>0</v>
      </c>
      <c r="Q10" s="163">
        <v>0</v>
      </c>
      <c r="R10" s="163">
        <v>0</v>
      </c>
      <c r="S10" s="163">
        <v>0</v>
      </c>
      <c r="T10" s="163">
        <v>0</v>
      </c>
      <c r="U10" s="163">
        <v>0</v>
      </c>
      <c r="V10" s="163">
        <v>0</v>
      </c>
      <c r="W10" s="163">
        <v>0</v>
      </c>
      <c r="X10" s="163">
        <v>0</v>
      </c>
      <c r="Y10" s="163">
        <v>0</v>
      </c>
      <c r="Z10" s="163">
        <v>0</v>
      </c>
      <c r="AA10" s="163">
        <v>0</v>
      </c>
      <c r="AB10" s="163">
        <v>0</v>
      </c>
      <c r="AC10" s="163">
        <v>0</v>
      </c>
      <c r="AD10" s="163">
        <v>0</v>
      </c>
      <c r="AE10" s="163">
        <v>0</v>
      </c>
      <c r="AF10" s="163">
        <v>0</v>
      </c>
      <c r="AG10" s="163">
        <v>0</v>
      </c>
      <c r="AH10" s="163">
        <v>0</v>
      </c>
      <c r="AI10" s="163">
        <v>0</v>
      </c>
      <c r="AJ10" s="163">
        <v>0</v>
      </c>
      <c r="AK10" s="163">
        <v>0</v>
      </c>
      <c r="AL10" s="164">
        <v>0</v>
      </c>
    </row>
    <row r="11" spans="2:43" s="40" customFormat="1" ht="18" customHeight="1" thickBot="1" x14ac:dyDescent="0.35">
      <c r="B11" s="56">
        <v>4</v>
      </c>
      <c r="C11" s="174"/>
      <c r="D11" s="57"/>
      <c r="E11" s="38"/>
      <c r="F11" s="320"/>
      <c r="G11" s="160" t="s">
        <v>3</v>
      </c>
      <c r="H11" s="161">
        <f>H9+H10</f>
        <v>0</v>
      </c>
      <c r="I11" s="161">
        <f t="shared" ref="I11:AL11" si="0">I9+I10</f>
        <v>0</v>
      </c>
      <c r="J11" s="161">
        <f t="shared" si="0"/>
        <v>0</v>
      </c>
      <c r="K11" s="161">
        <f t="shared" si="0"/>
        <v>0</v>
      </c>
      <c r="L11" s="161">
        <f t="shared" si="0"/>
        <v>0</v>
      </c>
      <c r="M11" s="161">
        <f t="shared" si="0"/>
        <v>0</v>
      </c>
      <c r="N11" s="161">
        <f t="shared" si="0"/>
        <v>0</v>
      </c>
      <c r="O11" s="161">
        <f t="shared" si="0"/>
        <v>0</v>
      </c>
      <c r="P11" s="161">
        <f t="shared" si="0"/>
        <v>0</v>
      </c>
      <c r="Q11" s="161">
        <f t="shared" si="0"/>
        <v>0</v>
      </c>
      <c r="R11" s="161">
        <f t="shared" si="0"/>
        <v>0</v>
      </c>
      <c r="S11" s="161">
        <f t="shared" si="0"/>
        <v>0</v>
      </c>
      <c r="T11" s="161">
        <f t="shared" si="0"/>
        <v>0</v>
      </c>
      <c r="U11" s="161">
        <f t="shared" si="0"/>
        <v>0</v>
      </c>
      <c r="V11" s="161">
        <f t="shared" si="0"/>
        <v>0</v>
      </c>
      <c r="W11" s="161">
        <f t="shared" si="0"/>
        <v>0</v>
      </c>
      <c r="X11" s="161">
        <f t="shared" si="0"/>
        <v>0</v>
      </c>
      <c r="Y11" s="161">
        <f t="shared" si="0"/>
        <v>5</v>
      </c>
      <c r="Z11" s="161">
        <f t="shared" si="0"/>
        <v>0</v>
      </c>
      <c r="AA11" s="161">
        <f t="shared" si="0"/>
        <v>0</v>
      </c>
      <c r="AB11" s="161">
        <f t="shared" si="0"/>
        <v>0</v>
      </c>
      <c r="AC11" s="161">
        <f t="shared" si="0"/>
        <v>0</v>
      </c>
      <c r="AD11" s="161">
        <f t="shared" si="0"/>
        <v>0</v>
      </c>
      <c r="AE11" s="161">
        <f t="shared" si="0"/>
        <v>0</v>
      </c>
      <c r="AF11" s="161">
        <f t="shared" si="0"/>
        <v>0</v>
      </c>
      <c r="AG11" s="161">
        <f t="shared" si="0"/>
        <v>0</v>
      </c>
      <c r="AH11" s="161">
        <f t="shared" si="0"/>
        <v>0</v>
      </c>
      <c r="AI11" s="161">
        <f t="shared" si="0"/>
        <v>0</v>
      </c>
      <c r="AJ11" s="161">
        <f t="shared" si="0"/>
        <v>0</v>
      </c>
      <c r="AK11" s="161">
        <f t="shared" si="0"/>
        <v>0</v>
      </c>
      <c r="AL11" s="162">
        <f t="shared" si="0"/>
        <v>0</v>
      </c>
    </row>
    <row r="12" spans="2:43" s="40" customFormat="1" ht="18" customHeight="1" x14ac:dyDescent="0.3">
      <c r="B12" s="56">
        <v>5</v>
      </c>
      <c r="C12" s="174"/>
      <c r="D12" s="57"/>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thickBot="1" x14ac:dyDescent="0.35">
      <c r="B13" s="56">
        <v>6</v>
      </c>
      <c r="C13" s="174"/>
      <c r="D13" s="57"/>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c r="D14" s="57"/>
      <c r="E14" s="38"/>
      <c r="F14" s="38"/>
      <c r="G14" s="38"/>
      <c r="H14" s="38"/>
      <c r="I14" s="195"/>
      <c r="J14" s="196"/>
      <c r="K14" s="196"/>
      <c r="L14" s="196"/>
      <c r="M14" s="196"/>
      <c r="N14" s="196"/>
      <c r="O14" s="196"/>
      <c r="P14" s="196"/>
      <c r="Q14" s="196"/>
      <c r="R14" s="197"/>
      <c r="S14" s="196"/>
      <c r="T14" s="281" t="s">
        <v>13</v>
      </c>
      <c r="U14" s="281"/>
      <c r="V14" s="281"/>
      <c r="W14" s="281"/>
      <c r="X14" s="281"/>
      <c r="Y14" s="281"/>
      <c r="Z14" s="281"/>
      <c r="AA14" s="281"/>
      <c r="AB14" s="281"/>
      <c r="AC14" s="281"/>
      <c r="AD14" s="281"/>
      <c r="AE14" s="281"/>
      <c r="AF14" s="281"/>
      <c r="AG14" s="281"/>
      <c r="AH14" s="281"/>
      <c r="AI14" s="281"/>
      <c r="AJ14" s="282"/>
      <c r="AK14" s="38"/>
      <c r="AL14" s="38"/>
      <c r="AM14" s="38"/>
      <c r="AN14" s="38"/>
      <c r="AO14" s="38"/>
      <c r="AP14" s="38"/>
      <c r="AQ14" s="38"/>
    </row>
    <row r="15" spans="2:43" s="40" customFormat="1" ht="18" customHeight="1" x14ac:dyDescent="0.3">
      <c r="B15" s="56">
        <v>8</v>
      </c>
      <c r="C15" s="174"/>
      <c r="D15" s="57"/>
      <c r="E15" s="38"/>
      <c r="F15" s="38"/>
      <c r="G15" s="38"/>
      <c r="H15" s="38"/>
      <c r="I15" s="198"/>
      <c r="J15" s="38"/>
      <c r="K15" s="38"/>
      <c r="L15" s="38"/>
      <c r="M15" s="38"/>
      <c r="N15" s="38"/>
      <c r="O15" s="38"/>
      <c r="P15" s="38"/>
      <c r="Q15" s="38"/>
      <c r="R15" s="199"/>
      <c r="S15" s="38"/>
      <c r="T15" s="283"/>
      <c r="U15" s="283"/>
      <c r="V15" s="283"/>
      <c r="W15" s="283"/>
      <c r="X15" s="283"/>
      <c r="Y15" s="283"/>
      <c r="Z15" s="283"/>
      <c r="AA15" s="283"/>
      <c r="AB15" s="283"/>
      <c r="AC15" s="283"/>
      <c r="AD15" s="283"/>
      <c r="AE15" s="283"/>
      <c r="AF15" s="283"/>
      <c r="AG15" s="283"/>
      <c r="AH15" s="283"/>
      <c r="AI15" s="283"/>
      <c r="AJ15" s="284"/>
      <c r="AK15" s="38"/>
      <c r="AL15" s="38"/>
      <c r="AM15" s="38"/>
      <c r="AN15" s="38"/>
      <c r="AO15" s="38"/>
      <c r="AP15" s="38"/>
      <c r="AQ15" s="38"/>
    </row>
    <row r="16" spans="2:43" s="40" customFormat="1" ht="18" customHeight="1" x14ac:dyDescent="0.3">
      <c r="B16" s="56">
        <v>9</v>
      </c>
      <c r="C16" s="174"/>
      <c r="D16" s="57"/>
      <c r="E16" s="38"/>
      <c r="F16" s="38"/>
      <c r="G16" s="38"/>
      <c r="H16" s="38"/>
      <c r="I16" s="198"/>
      <c r="J16" s="38"/>
      <c r="K16" s="38"/>
      <c r="L16" s="38"/>
      <c r="M16" s="38"/>
      <c r="N16" s="38"/>
      <c r="O16" s="38"/>
      <c r="P16" s="38"/>
      <c r="Q16" s="38"/>
      <c r="R16" s="199"/>
      <c r="S16" s="209"/>
      <c r="T16" s="283"/>
      <c r="U16" s="283"/>
      <c r="V16" s="283"/>
      <c r="W16" s="283"/>
      <c r="X16" s="283"/>
      <c r="Y16" s="283"/>
      <c r="Z16" s="283"/>
      <c r="AA16" s="283"/>
      <c r="AB16" s="283"/>
      <c r="AC16" s="283"/>
      <c r="AD16" s="283"/>
      <c r="AE16" s="283"/>
      <c r="AF16" s="283"/>
      <c r="AG16" s="283"/>
      <c r="AH16" s="283"/>
      <c r="AI16" s="283"/>
      <c r="AJ16" s="284"/>
      <c r="AK16" s="38"/>
      <c r="AL16" s="38"/>
      <c r="AM16" s="38"/>
      <c r="AN16" s="38"/>
      <c r="AO16" s="38"/>
      <c r="AP16" s="38"/>
      <c r="AQ16" s="38"/>
    </row>
    <row r="17" spans="2:43" s="40" customFormat="1" ht="18" customHeight="1" x14ac:dyDescent="0.3">
      <c r="B17" s="56">
        <v>10</v>
      </c>
      <c r="C17" s="174"/>
      <c r="D17" s="57"/>
      <c r="E17" s="38"/>
      <c r="F17" s="38"/>
      <c r="G17" s="38"/>
      <c r="H17" s="38"/>
      <c r="I17" s="198"/>
      <c r="J17" s="38"/>
      <c r="K17" s="38"/>
      <c r="L17" s="38"/>
      <c r="M17" s="38"/>
      <c r="N17" s="38"/>
      <c r="O17" s="38"/>
      <c r="P17" s="38"/>
      <c r="Q17" s="38"/>
      <c r="R17" s="199"/>
      <c r="S17" s="209"/>
      <c r="T17" s="283"/>
      <c r="U17" s="283"/>
      <c r="V17" s="283"/>
      <c r="W17" s="283"/>
      <c r="X17" s="283"/>
      <c r="Y17" s="283"/>
      <c r="Z17" s="283"/>
      <c r="AA17" s="283"/>
      <c r="AB17" s="283"/>
      <c r="AC17" s="283"/>
      <c r="AD17" s="283"/>
      <c r="AE17" s="283"/>
      <c r="AF17" s="283"/>
      <c r="AG17" s="283"/>
      <c r="AH17" s="283"/>
      <c r="AI17" s="283"/>
      <c r="AJ17" s="284"/>
      <c r="AK17" s="38"/>
      <c r="AL17" s="38"/>
      <c r="AM17" s="38"/>
      <c r="AN17" s="38"/>
      <c r="AO17" s="38"/>
      <c r="AP17" s="38"/>
      <c r="AQ17" s="38"/>
    </row>
    <row r="18" spans="2:43" s="40" customFormat="1" ht="18" customHeight="1" x14ac:dyDescent="0.3">
      <c r="B18" s="56">
        <v>11</v>
      </c>
      <c r="C18" s="174"/>
      <c r="D18" s="57"/>
      <c r="E18" s="38"/>
      <c r="F18" s="38"/>
      <c r="G18" s="38"/>
      <c r="H18" s="38"/>
      <c r="I18" s="198"/>
      <c r="J18" s="38"/>
      <c r="K18" s="38"/>
      <c r="L18" s="38"/>
      <c r="M18" s="38"/>
      <c r="N18" s="38"/>
      <c r="O18" s="38"/>
      <c r="P18" s="38"/>
      <c r="Q18" s="38"/>
      <c r="R18" s="199"/>
      <c r="S18" s="209"/>
      <c r="T18" s="283"/>
      <c r="U18" s="283"/>
      <c r="V18" s="283"/>
      <c r="W18" s="283"/>
      <c r="X18" s="283"/>
      <c r="Y18" s="283"/>
      <c r="Z18" s="283"/>
      <c r="AA18" s="283"/>
      <c r="AB18" s="283"/>
      <c r="AC18" s="283"/>
      <c r="AD18" s="283"/>
      <c r="AE18" s="283"/>
      <c r="AF18" s="283"/>
      <c r="AG18" s="283"/>
      <c r="AH18" s="283"/>
      <c r="AI18" s="283"/>
      <c r="AJ18" s="284"/>
      <c r="AK18" s="38"/>
      <c r="AL18" s="38"/>
      <c r="AM18" s="38"/>
      <c r="AN18" s="38"/>
    </row>
    <row r="19" spans="2:43" s="40" customFormat="1" ht="18" customHeight="1" x14ac:dyDescent="0.3">
      <c r="B19" s="56">
        <v>12</v>
      </c>
      <c r="C19" s="174"/>
      <c r="D19" s="57"/>
      <c r="E19" s="53"/>
      <c r="F19" s="38"/>
      <c r="G19" s="38"/>
      <c r="H19" s="38"/>
      <c r="I19" s="198"/>
      <c r="J19" s="38"/>
      <c r="K19" s="38"/>
      <c r="L19" s="38"/>
      <c r="M19" s="38"/>
      <c r="N19" s="38"/>
      <c r="O19" s="38"/>
      <c r="P19" s="38"/>
      <c r="Q19" s="38"/>
      <c r="R19" s="199"/>
      <c r="S19" s="209"/>
      <c r="T19" s="283"/>
      <c r="U19" s="283"/>
      <c r="V19" s="283"/>
      <c r="W19" s="283"/>
      <c r="X19" s="283"/>
      <c r="Y19" s="283"/>
      <c r="Z19" s="283"/>
      <c r="AA19" s="283"/>
      <c r="AB19" s="283"/>
      <c r="AC19" s="283"/>
      <c r="AD19" s="283"/>
      <c r="AE19" s="283"/>
      <c r="AF19" s="283"/>
      <c r="AG19" s="283"/>
      <c r="AH19" s="283"/>
      <c r="AI19" s="283"/>
      <c r="AJ19" s="284"/>
      <c r="AK19" s="38"/>
      <c r="AL19" s="38"/>
      <c r="AM19" s="38"/>
      <c r="AN19" s="38"/>
    </row>
    <row r="20" spans="2:43" s="40" customFormat="1" ht="18" customHeight="1" thickBot="1" x14ac:dyDescent="0.35">
      <c r="B20" s="56">
        <v>13</v>
      </c>
      <c r="C20" s="174"/>
      <c r="D20" s="57"/>
      <c r="E20" s="53"/>
      <c r="F20" s="38"/>
      <c r="G20" s="38"/>
      <c r="H20" s="38"/>
      <c r="I20" s="200"/>
      <c r="J20" s="201"/>
      <c r="K20" s="201"/>
      <c r="L20" s="201"/>
      <c r="M20" s="201"/>
      <c r="N20" s="201"/>
      <c r="O20" s="201"/>
      <c r="P20" s="201"/>
      <c r="Q20" s="201"/>
      <c r="R20" s="202"/>
      <c r="S20" s="201"/>
      <c r="T20" s="285"/>
      <c r="U20" s="285"/>
      <c r="V20" s="285"/>
      <c r="W20" s="285"/>
      <c r="X20" s="285"/>
      <c r="Y20" s="285"/>
      <c r="Z20" s="285"/>
      <c r="AA20" s="285"/>
      <c r="AB20" s="285"/>
      <c r="AC20" s="285"/>
      <c r="AD20" s="285"/>
      <c r="AE20" s="285"/>
      <c r="AF20" s="285"/>
      <c r="AG20" s="285"/>
      <c r="AH20" s="285"/>
      <c r="AI20" s="285"/>
      <c r="AJ20" s="286"/>
      <c r="AK20" s="38"/>
      <c r="AL20" s="38"/>
      <c r="AM20" s="38"/>
      <c r="AN20" s="38"/>
    </row>
    <row r="21" spans="2:43" s="40" customFormat="1" ht="18" customHeight="1" thickBot="1" x14ac:dyDescent="0.35">
      <c r="B21" s="56">
        <v>14</v>
      </c>
      <c r="C21" s="174"/>
      <c r="D21" s="57"/>
      <c r="E21" s="53"/>
      <c r="F21" s="38"/>
      <c r="G21" s="38"/>
      <c r="H21" s="38"/>
      <c r="I21" s="203"/>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c r="AG21" s="204"/>
      <c r="AH21" s="204"/>
      <c r="AI21" s="204"/>
      <c r="AJ21" s="205"/>
      <c r="AK21" s="38"/>
      <c r="AL21" s="38"/>
      <c r="AM21" s="38"/>
      <c r="AN21" s="38"/>
    </row>
    <row r="22" spans="2:43" s="40" customFormat="1" ht="18" customHeight="1" x14ac:dyDescent="0.3">
      <c r="B22" s="56">
        <v>15</v>
      </c>
      <c r="C22" s="174"/>
      <c r="D22" s="57"/>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thickBot="1" x14ac:dyDescent="0.35">
      <c r="B23" s="56">
        <v>16</v>
      </c>
      <c r="C23" s="174"/>
      <c r="D23" s="57"/>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c r="D24" s="57"/>
      <c r="E24" s="53"/>
      <c r="F24" s="38"/>
      <c r="G24" s="38"/>
      <c r="H24" s="38"/>
      <c r="I24" s="287"/>
      <c r="J24" s="288"/>
      <c r="K24" s="288"/>
      <c r="L24" s="288"/>
      <c r="M24" s="288"/>
      <c r="N24" s="288"/>
      <c r="O24" s="288"/>
      <c r="P24" s="288"/>
      <c r="Q24" s="288"/>
      <c r="R24" s="289"/>
      <c r="S24" s="196"/>
      <c r="T24" s="281" t="s">
        <v>14</v>
      </c>
      <c r="U24" s="281"/>
      <c r="V24" s="281"/>
      <c r="W24" s="281"/>
      <c r="X24" s="281"/>
      <c r="Y24" s="281"/>
      <c r="Z24" s="281"/>
      <c r="AA24" s="281"/>
      <c r="AB24" s="281"/>
      <c r="AC24" s="281"/>
      <c r="AD24" s="281"/>
      <c r="AE24" s="281"/>
      <c r="AF24" s="281"/>
      <c r="AG24" s="281"/>
      <c r="AH24" s="281"/>
      <c r="AI24" s="281"/>
      <c r="AJ24" s="282"/>
      <c r="AK24" s="38"/>
      <c r="AL24" s="38"/>
      <c r="AM24" s="38"/>
      <c r="AN24" s="38"/>
    </row>
    <row r="25" spans="2:43" s="40" customFormat="1" ht="18" customHeight="1" x14ac:dyDescent="0.3">
      <c r="B25" s="56">
        <v>18</v>
      </c>
      <c r="C25" s="174">
        <v>5</v>
      </c>
      <c r="D25" s="57"/>
      <c r="E25" s="53"/>
      <c r="F25" s="38"/>
      <c r="G25" s="38"/>
      <c r="H25" s="38"/>
      <c r="I25" s="290"/>
      <c r="J25" s="291"/>
      <c r="K25" s="291"/>
      <c r="L25" s="291"/>
      <c r="M25" s="291"/>
      <c r="N25" s="291"/>
      <c r="O25" s="291"/>
      <c r="P25" s="291"/>
      <c r="Q25" s="291"/>
      <c r="R25" s="292"/>
      <c r="S25" s="38"/>
      <c r="T25" s="283"/>
      <c r="U25" s="283"/>
      <c r="V25" s="283"/>
      <c r="W25" s="283"/>
      <c r="X25" s="283"/>
      <c r="Y25" s="283"/>
      <c r="Z25" s="283"/>
      <c r="AA25" s="283"/>
      <c r="AB25" s="283"/>
      <c r="AC25" s="283"/>
      <c r="AD25" s="283"/>
      <c r="AE25" s="283"/>
      <c r="AF25" s="283"/>
      <c r="AG25" s="283"/>
      <c r="AH25" s="283"/>
      <c r="AI25" s="283"/>
      <c r="AJ25" s="284"/>
      <c r="AK25" s="38"/>
      <c r="AL25" s="38"/>
      <c r="AM25" s="38"/>
      <c r="AN25" s="38"/>
    </row>
    <row r="26" spans="2:43" s="40" customFormat="1" ht="18" customHeight="1" x14ac:dyDescent="0.3">
      <c r="B26" s="56">
        <v>19</v>
      </c>
      <c r="C26" s="174"/>
      <c r="D26" s="57"/>
      <c r="E26" s="53"/>
      <c r="F26" s="38"/>
      <c r="G26" s="38"/>
      <c r="H26" s="38"/>
      <c r="I26" s="290"/>
      <c r="J26" s="291"/>
      <c r="K26" s="291"/>
      <c r="L26" s="291"/>
      <c r="M26" s="291"/>
      <c r="N26" s="291"/>
      <c r="O26" s="291"/>
      <c r="P26" s="291"/>
      <c r="Q26" s="291"/>
      <c r="R26" s="292"/>
      <c r="T26" s="283"/>
      <c r="U26" s="283"/>
      <c r="V26" s="283"/>
      <c r="W26" s="283"/>
      <c r="X26" s="283"/>
      <c r="Y26" s="283"/>
      <c r="Z26" s="283"/>
      <c r="AA26" s="283"/>
      <c r="AB26" s="283"/>
      <c r="AC26" s="283"/>
      <c r="AD26" s="283"/>
      <c r="AE26" s="283"/>
      <c r="AF26" s="283"/>
      <c r="AG26" s="283"/>
      <c r="AH26" s="283"/>
      <c r="AI26" s="283"/>
      <c r="AJ26" s="284"/>
      <c r="AK26" s="38"/>
      <c r="AL26" s="38"/>
      <c r="AM26" s="38"/>
      <c r="AN26" s="38"/>
    </row>
    <row r="27" spans="2:43" s="40" customFormat="1" ht="18" customHeight="1" x14ac:dyDescent="0.3">
      <c r="B27" s="56">
        <v>20</v>
      </c>
      <c r="C27" s="174"/>
      <c r="D27" s="57"/>
      <c r="E27" s="53"/>
      <c r="F27" s="38"/>
      <c r="G27" s="38"/>
      <c r="H27" s="38"/>
      <c r="I27" s="290"/>
      <c r="J27" s="291"/>
      <c r="K27" s="291"/>
      <c r="L27" s="291"/>
      <c r="M27" s="291"/>
      <c r="N27" s="291"/>
      <c r="O27" s="291"/>
      <c r="P27" s="291"/>
      <c r="Q27" s="291"/>
      <c r="R27" s="292"/>
      <c r="S27" s="209"/>
      <c r="T27" s="283"/>
      <c r="U27" s="283"/>
      <c r="V27" s="283"/>
      <c r="W27" s="283"/>
      <c r="X27" s="283"/>
      <c r="Y27" s="283"/>
      <c r="Z27" s="283"/>
      <c r="AA27" s="283"/>
      <c r="AB27" s="283"/>
      <c r="AC27" s="283"/>
      <c r="AD27" s="283"/>
      <c r="AE27" s="283"/>
      <c r="AF27" s="283"/>
      <c r="AG27" s="283"/>
      <c r="AH27" s="283"/>
      <c r="AI27" s="283"/>
      <c r="AJ27" s="284"/>
      <c r="AK27" s="38"/>
      <c r="AL27" s="38"/>
      <c r="AM27" s="38"/>
      <c r="AN27" s="38"/>
    </row>
    <row r="28" spans="2:43" s="40" customFormat="1" ht="18" customHeight="1" x14ac:dyDescent="0.3">
      <c r="B28" s="56">
        <v>21</v>
      </c>
      <c r="C28" s="174"/>
      <c r="D28" s="57"/>
      <c r="E28" s="53"/>
      <c r="F28" s="38"/>
      <c r="G28" s="38"/>
      <c r="H28" s="38"/>
      <c r="I28" s="290"/>
      <c r="J28" s="291"/>
      <c r="K28" s="291"/>
      <c r="L28" s="291"/>
      <c r="M28" s="291"/>
      <c r="N28" s="291"/>
      <c r="O28" s="291"/>
      <c r="P28" s="291"/>
      <c r="Q28" s="291"/>
      <c r="R28" s="292"/>
      <c r="S28" s="209"/>
      <c r="T28" s="283"/>
      <c r="U28" s="283"/>
      <c r="V28" s="283"/>
      <c r="W28" s="283"/>
      <c r="X28" s="283"/>
      <c r="Y28" s="283"/>
      <c r="Z28" s="283"/>
      <c r="AA28" s="283"/>
      <c r="AB28" s="283"/>
      <c r="AC28" s="283"/>
      <c r="AD28" s="283"/>
      <c r="AE28" s="283"/>
      <c r="AF28" s="283"/>
      <c r="AG28" s="283"/>
      <c r="AH28" s="283"/>
      <c r="AI28" s="283"/>
      <c r="AJ28" s="284"/>
      <c r="AK28" s="38"/>
      <c r="AL28" s="38"/>
      <c r="AM28" s="38"/>
      <c r="AN28" s="38"/>
    </row>
    <row r="29" spans="2:43" s="40" customFormat="1" ht="18" customHeight="1" x14ac:dyDescent="0.3">
      <c r="B29" s="56">
        <v>22</v>
      </c>
      <c r="C29" s="174"/>
      <c r="D29" s="57"/>
      <c r="E29" s="53"/>
      <c r="F29" s="38"/>
      <c r="G29" s="38"/>
      <c r="H29" s="38"/>
      <c r="I29" s="290"/>
      <c r="J29" s="291"/>
      <c r="K29" s="291"/>
      <c r="L29" s="291"/>
      <c r="M29" s="291"/>
      <c r="N29" s="291"/>
      <c r="O29" s="291"/>
      <c r="P29" s="291"/>
      <c r="Q29" s="291"/>
      <c r="R29" s="292"/>
      <c r="S29" s="209"/>
      <c r="T29" s="283"/>
      <c r="U29" s="283"/>
      <c r="V29" s="283"/>
      <c r="W29" s="283"/>
      <c r="X29" s="283"/>
      <c r="Y29" s="283"/>
      <c r="Z29" s="283"/>
      <c r="AA29" s="283"/>
      <c r="AB29" s="283"/>
      <c r="AC29" s="283"/>
      <c r="AD29" s="283"/>
      <c r="AE29" s="283"/>
      <c r="AF29" s="283"/>
      <c r="AG29" s="283"/>
      <c r="AH29" s="283"/>
      <c r="AI29" s="283"/>
      <c r="AJ29" s="284"/>
      <c r="AK29" s="38"/>
      <c r="AL29" s="38"/>
      <c r="AM29" s="38"/>
      <c r="AN29" s="38"/>
    </row>
    <row r="30" spans="2:43" s="40" customFormat="1" ht="18" customHeight="1" thickBot="1" x14ac:dyDescent="0.35">
      <c r="B30" s="56">
        <v>23</v>
      </c>
      <c r="C30" s="174"/>
      <c r="D30" s="57"/>
      <c r="E30" s="53"/>
      <c r="F30" s="38"/>
      <c r="G30" s="38"/>
      <c r="H30" s="38"/>
      <c r="I30" s="293"/>
      <c r="J30" s="294"/>
      <c r="K30" s="294"/>
      <c r="L30" s="294"/>
      <c r="M30" s="294"/>
      <c r="N30" s="294"/>
      <c r="O30" s="294"/>
      <c r="P30" s="294"/>
      <c r="Q30" s="294"/>
      <c r="R30" s="295"/>
      <c r="S30" s="201"/>
      <c r="T30" s="285"/>
      <c r="U30" s="285"/>
      <c r="V30" s="285"/>
      <c r="W30" s="285"/>
      <c r="X30" s="285"/>
      <c r="Y30" s="285"/>
      <c r="Z30" s="285"/>
      <c r="AA30" s="285"/>
      <c r="AB30" s="285"/>
      <c r="AC30" s="285"/>
      <c r="AD30" s="285"/>
      <c r="AE30" s="285"/>
      <c r="AF30" s="285"/>
      <c r="AG30" s="285"/>
      <c r="AH30" s="285"/>
      <c r="AI30" s="285"/>
      <c r="AJ30" s="286"/>
      <c r="AK30" s="38"/>
      <c r="AL30" s="38"/>
      <c r="AM30" s="38"/>
      <c r="AN30" s="38"/>
    </row>
    <row r="31" spans="2:43" s="40" customFormat="1" ht="18" customHeight="1" thickBot="1" x14ac:dyDescent="0.35">
      <c r="B31" s="56">
        <v>24</v>
      </c>
      <c r="C31" s="174"/>
      <c r="D31" s="57"/>
      <c r="E31" s="53"/>
      <c r="F31" s="38"/>
      <c r="G31" s="38"/>
      <c r="H31" s="38"/>
      <c r="I31" s="206"/>
      <c r="J31" s="207"/>
      <c r="K31" s="207"/>
      <c r="L31" s="207"/>
      <c r="M31" s="207"/>
      <c r="N31" s="207"/>
      <c r="O31" s="207"/>
      <c r="P31" s="207"/>
      <c r="Q31" s="207"/>
      <c r="R31" s="207"/>
      <c r="S31" s="207"/>
      <c r="T31" s="207"/>
      <c r="U31" s="207"/>
      <c r="V31" s="207"/>
      <c r="W31" s="207"/>
      <c r="X31" s="207"/>
      <c r="Y31" s="207"/>
      <c r="Z31" s="207"/>
      <c r="AA31" s="207"/>
      <c r="AB31" s="207"/>
      <c r="AC31" s="207"/>
      <c r="AD31" s="207"/>
      <c r="AE31" s="207"/>
      <c r="AF31" s="207"/>
      <c r="AG31" s="207"/>
      <c r="AH31" s="207"/>
      <c r="AI31" s="207"/>
      <c r="AJ31" s="208"/>
      <c r="AK31" s="38"/>
      <c r="AL31" s="38"/>
      <c r="AM31" s="38"/>
      <c r="AN31" s="38"/>
    </row>
    <row r="32" spans="2:43" s="40" customFormat="1" ht="18" customHeight="1" x14ac:dyDescent="0.3">
      <c r="B32" s="56">
        <v>25</v>
      </c>
      <c r="C32" s="174"/>
      <c r="D32" s="57"/>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c r="D33" s="57"/>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c r="D34" s="57"/>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c r="D35" s="57"/>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c r="D36" s="57"/>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c r="D37" s="57"/>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x14ac:dyDescent="0.3">
      <c r="B38" s="89">
        <v>31</v>
      </c>
      <c r="C38" s="180"/>
      <c r="D38" s="91"/>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Bot="1" x14ac:dyDescent="0.3">
      <c r="B39" s="213" t="s">
        <v>3</v>
      </c>
      <c r="C39" s="214">
        <f>SUM(C8:C38)</f>
        <v>5</v>
      </c>
      <c r="D39" s="214">
        <f>SUM(D8:D38)</f>
        <v>0</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11">
    <mergeCell ref="B3:D3"/>
    <mergeCell ref="F3:AL4"/>
    <mergeCell ref="B4:D4"/>
    <mergeCell ref="F5:AL6"/>
    <mergeCell ref="F7:F11"/>
    <mergeCell ref="H7:AL7"/>
    <mergeCell ref="T14:AJ20"/>
    <mergeCell ref="I24:R30"/>
    <mergeCell ref="T24:AJ30"/>
    <mergeCell ref="B5:D5"/>
    <mergeCell ref="B6:D6"/>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4B769-39A7-49C2-9ECC-FCFFEE5652DD}">
  <sheetPr codeName="Hoja28">
    <pageSetUpPr fitToPage="1"/>
  </sheetPr>
  <dimension ref="B1:BA37"/>
  <sheetViews>
    <sheetView showGridLines="0" zoomScale="110" zoomScaleNormal="110" workbookViewId="0">
      <selection activeCell="G2" sqref="G2:AB2"/>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v>45597</v>
      </c>
      <c r="AD2" s="332"/>
      <c r="AE2" s="332"/>
      <c r="AF2" s="332"/>
      <c r="AG2" s="332"/>
      <c r="AH2" s="333"/>
      <c r="AI2" s="40"/>
      <c r="AJ2" s="40"/>
    </row>
    <row r="3" spans="2:53" ht="23.25" customHeight="1" x14ac:dyDescent="0.25">
      <c r="B3" s="323">
        <v>36526</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c r="E5" s="247"/>
      <c r="F5" s="247"/>
      <c r="G5" s="247"/>
      <c r="H5" s="247"/>
      <c r="I5" s="247"/>
      <c r="J5" s="247"/>
      <c r="K5" s="247"/>
      <c r="L5" s="247"/>
      <c r="M5" s="247"/>
      <c r="N5" s="247"/>
      <c r="O5" s="247"/>
      <c r="P5" s="247"/>
      <c r="Q5" s="247"/>
      <c r="R5" s="247"/>
      <c r="S5" s="247"/>
      <c r="T5" s="247"/>
      <c r="U5" s="247"/>
      <c r="V5" s="247"/>
      <c r="W5" s="247"/>
      <c r="X5" s="247"/>
      <c r="Y5" s="247"/>
      <c r="Z5" s="247"/>
      <c r="AA5" s="247"/>
      <c r="AB5" s="247"/>
      <c r="AC5" s="247"/>
      <c r="AD5" s="247"/>
      <c r="AE5" s="247"/>
      <c r="AF5" s="247"/>
      <c r="AG5" s="247"/>
      <c r="AH5" s="248"/>
    </row>
    <row r="6" spans="2:53" s="40" customFormat="1" ht="18" customHeight="1" x14ac:dyDescent="0.3">
      <c r="B6" s="324"/>
      <c r="C6" s="239" t="s">
        <v>11</v>
      </c>
      <c r="D6" s="163"/>
      <c r="E6" s="163"/>
      <c r="F6" s="163"/>
      <c r="G6" s="163"/>
      <c r="H6" s="163"/>
      <c r="I6" s="163"/>
      <c r="J6" s="163"/>
      <c r="K6" s="163"/>
      <c r="L6" s="163"/>
      <c r="M6" s="163"/>
      <c r="N6" s="163"/>
      <c r="O6" s="163"/>
      <c r="P6" s="163"/>
      <c r="Q6" s="163"/>
      <c r="R6" s="163"/>
      <c r="S6" s="163"/>
      <c r="T6" s="163"/>
      <c r="U6" s="163"/>
      <c r="V6" s="163"/>
      <c r="W6" s="163"/>
      <c r="X6" s="163"/>
      <c r="Y6" s="163"/>
      <c r="Z6" s="163"/>
      <c r="AA6" s="163"/>
      <c r="AB6" s="163"/>
      <c r="AC6" s="163"/>
      <c r="AD6" s="163"/>
      <c r="AE6" s="163"/>
      <c r="AF6" s="163"/>
      <c r="AG6" s="163"/>
      <c r="AH6" s="240"/>
    </row>
    <row r="7" spans="2:53" s="40" customFormat="1" ht="18" customHeight="1" thickBot="1" x14ac:dyDescent="0.35">
      <c r="B7" s="325"/>
      <c r="C7" s="244" t="s">
        <v>3</v>
      </c>
      <c r="D7" s="245">
        <f>D5+D6</f>
        <v>0</v>
      </c>
      <c r="E7" s="245">
        <f t="shared" ref="E7:AH7" si="0">E5+E6</f>
        <v>0</v>
      </c>
      <c r="F7" s="245">
        <f t="shared" si="0"/>
        <v>0</v>
      </c>
      <c r="G7" s="245">
        <f t="shared" si="0"/>
        <v>0</v>
      </c>
      <c r="H7" s="245">
        <f t="shared" si="0"/>
        <v>0</v>
      </c>
      <c r="I7" s="245">
        <f t="shared" si="0"/>
        <v>0</v>
      </c>
      <c r="J7" s="245">
        <f t="shared" si="0"/>
        <v>0</v>
      </c>
      <c r="K7" s="245">
        <f t="shared" si="0"/>
        <v>0</v>
      </c>
      <c r="L7" s="245">
        <f t="shared" si="0"/>
        <v>0</v>
      </c>
      <c r="M7" s="245">
        <f t="shared" si="0"/>
        <v>0</v>
      </c>
      <c r="N7" s="245">
        <f t="shared" si="0"/>
        <v>0</v>
      </c>
      <c r="O7" s="245">
        <f t="shared" si="0"/>
        <v>0</v>
      </c>
      <c r="P7" s="245">
        <f t="shared" si="0"/>
        <v>0</v>
      </c>
      <c r="Q7" s="245">
        <f t="shared" si="0"/>
        <v>0</v>
      </c>
      <c r="R7" s="245">
        <f t="shared" si="0"/>
        <v>0</v>
      </c>
      <c r="S7" s="245">
        <f t="shared" si="0"/>
        <v>0</v>
      </c>
      <c r="T7" s="245">
        <f t="shared" si="0"/>
        <v>0</v>
      </c>
      <c r="U7" s="245">
        <f t="shared" si="0"/>
        <v>0</v>
      </c>
      <c r="V7" s="245">
        <f t="shared" si="0"/>
        <v>0</v>
      </c>
      <c r="W7" s="245">
        <f t="shared" si="0"/>
        <v>0</v>
      </c>
      <c r="X7" s="245">
        <f t="shared" si="0"/>
        <v>0</v>
      </c>
      <c r="Y7" s="245">
        <f t="shared" si="0"/>
        <v>0</v>
      </c>
      <c r="Z7" s="245">
        <f t="shared" si="0"/>
        <v>0</v>
      </c>
      <c r="AA7" s="245">
        <f t="shared" si="0"/>
        <v>0</v>
      </c>
      <c r="AB7" s="245">
        <f t="shared" si="0"/>
        <v>0</v>
      </c>
      <c r="AC7" s="245">
        <f t="shared" si="0"/>
        <v>0</v>
      </c>
      <c r="AD7" s="245">
        <f t="shared" si="0"/>
        <v>0</v>
      </c>
      <c r="AE7" s="245">
        <f t="shared" si="0"/>
        <v>0</v>
      </c>
      <c r="AF7" s="245">
        <f t="shared" si="0"/>
        <v>0</v>
      </c>
      <c r="AG7" s="245">
        <f t="shared" si="0"/>
        <v>0</v>
      </c>
      <c r="AH7" s="246">
        <f t="shared" si="0"/>
        <v>0</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D10:H10"/>
    <mergeCell ref="I10:N10"/>
    <mergeCell ref="AA10:AC10"/>
    <mergeCell ref="S10:Z10"/>
    <mergeCell ref="B3:B7"/>
    <mergeCell ref="D3:AH3"/>
    <mergeCell ref="E20:N26"/>
    <mergeCell ref="P20:AF26"/>
    <mergeCell ref="B2:F2"/>
    <mergeCell ref="AC2:AH2"/>
    <mergeCell ref="G2:AB2"/>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2E899-62E1-419A-BCC0-DDD0FF0CA7EC}">
  <sheetPr codeName="Hoja2"/>
  <dimension ref="B1:F35"/>
  <sheetViews>
    <sheetView workbookViewId="0">
      <selection activeCell="I31" sqref="I31"/>
    </sheetView>
  </sheetViews>
  <sheetFormatPr baseColWidth="10" defaultColWidth="11.44140625" defaultRowHeight="14.4" x14ac:dyDescent="0.3"/>
  <cols>
    <col min="3" max="3" width="26.77734375" customWidth="1"/>
    <col min="4" max="4" width="15" customWidth="1"/>
    <col min="5" max="5" width="16.5546875" customWidth="1"/>
    <col min="6" max="6" width="22.21875" customWidth="1"/>
  </cols>
  <sheetData>
    <row r="1" spans="2:6" ht="15" thickBot="1" x14ac:dyDescent="0.35"/>
    <row r="2" spans="2:6" ht="21.6" thickBot="1" x14ac:dyDescent="0.35">
      <c r="B2" s="343" t="s">
        <v>47</v>
      </c>
      <c r="C2" s="344"/>
      <c r="D2" s="344"/>
      <c r="E2" s="344"/>
      <c r="F2" s="345"/>
    </row>
    <row r="3" spans="2:6" ht="15" thickBot="1" x14ac:dyDescent="0.35">
      <c r="B3" s="2" t="s">
        <v>48</v>
      </c>
      <c r="C3" s="3" t="s">
        <v>49</v>
      </c>
      <c r="D3" s="3" t="s">
        <v>50</v>
      </c>
      <c r="E3" s="3" t="s">
        <v>51</v>
      </c>
      <c r="F3" s="3" t="s">
        <v>52</v>
      </c>
    </row>
    <row r="4" spans="2:6" ht="15" thickBot="1" x14ac:dyDescent="0.35">
      <c r="B4" s="4" t="s">
        <v>53</v>
      </c>
      <c r="C4" s="5">
        <f>SUM(Histórico!D5:AH16)</f>
        <v>6281</v>
      </c>
      <c r="D4" s="5" t="s">
        <v>54</v>
      </c>
      <c r="E4" s="5" t="s">
        <v>54</v>
      </c>
      <c r="F4" s="5"/>
    </row>
    <row r="5" spans="2:6" ht="15" thickBot="1" x14ac:dyDescent="0.35">
      <c r="B5" s="4" t="s">
        <v>55</v>
      </c>
      <c r="C5" s="5">
        <f>SUM(Histórico!D17:AH28)</f>
        <v>7592</v>
      </c>
      <c r="D5" s="7">
        <f>(C5/$C$4)-1</f>
        <v>0.20872472536220354</v>
      </c>
      <c r="E5" s="7">
        <f>(C5/C4)-1</f>
        <v>0.20872472536220354</v>
      </c>
      <c r="F5" s="5"/>
    </row>
    <row r="6" spans="2:6" ht="15" thickBot="1" x14ac:dyDescent="0.35">
      <c r="B6" s="4" t="s">
        <v>56</v>
      </c>
      <c r="C6" s="5">
        <f>SUM(Histórico!D29:AH40)</f>
        <v>7390</v>
      </c>
      <c r="D6" s="7">
        <f t="shared" ref="D6:D12" si="0">(C6/$C$4)-1</f>
        <v>0.17656424136284032</v>
      </c>
      <c r="E6" s="7">
        <f t="shared" ref="E6:E12" si="1">(C6/C5)-1</f>
        <v>-2.6606954689146423E-2</v>
      </c>
      <c r="F6" s="5"/>
    </row>
    <row r="7" spans="2:6" ht="15" thickBot="1" x14ac:dyDescent="0.35">
      <c r="B7" s="4" t="s">
        <v>57</v>
      </c>
      <c r="C7" s="5">
        <f>SUM(Histórico!D41:AH52)</f>
        <v>6810</v>
      </c>
      <c r="D7" s="7">
        <f t="shared" si="0"/>
        <v>8.4222257602292627E-2</v>
      </c>
      <c r="E7" s="7">
        <f t="shared" si="1"/>
        <v>-7.8484438430311276E-2</v>
      </c>
      <c r="F7" s="5"/>
    </row>
    <row r="8" spans="2:6" ht="15" thickBot="1" x14ac:dyDescent="0.35">
      <c r="B8" s="4" t="s">
        <v>58</v>
      </c>
      <c r="C8" s="5">
        <f>SUM(Histórico!D53:AH64)</f>
        <v>7026</v>
      </c>
      <c r="D8" s="7">
        <f t="shared" si="0"/>
        <v>0.11861168603725525</v>
      </c>
      <c r="E8" s="7">
        <f t="shared" si="1"/>
        <v>3.1718061674008702E-2</v>
      </c>
      <c r="F8" s="5"/>
    </row>
    <row r="9" spans="2:6" ht="15" thickBot="1" x14ac:dyDescent="0.35">
      <c r="B9" s="4" t="s">
        <v>59</v>
      </c>
      <c r="C9" s="5">
        <f>SUM(Histórico!D65:AH76)</f>
        <v>7364</v>
      </c>
      <c r="D9" s="7">
        <f t="shared" si="0"/>
        <v>0.17242477312529858</v>
      </c>
      <c r="E9" s="7">
        <f t="shared" si="1"/>
        <v>4.8107031027611713E-2</v>
      </c>
      <c r="F9" s="5"/>
    </row>
    <row r="10" spans="2:6" ht="15" thickBot="1" x14ac:dyDescent="0.35">
      <c r="B10" s="4" t="s">
        <v>60</v>
      </c>
      <c r="C10" s="5">
        <f>SUM(Histórico!D77:AH88)</f>
        <v>7258</v>
      </c>
      <c r="D10" s="7">
        <f t="shared" si="0"/>
        <v>0.15554847954147433</v>
      </c>
      <c r="E10" s="7">
        <f t="shared" si="1"/>
        <v>-1.4394350896252073E-2</v>
      </c>
      <c r="F10" s="5"/>
    </row>
    <row r="11" spans="2:6" ht="15" thickBot="1" x14ac:dyDescent="0.35">
      <c r="B11" s="8" t="s">
        <v>61</v>
      </c>
      <c r="C11" s="9">
        <f>SUM(Histórico!D89:AH100)</f>
        <v>6254</v>
      </c>
      <c r="D11" s="10">
        <f t="shared" si="0"/>
        <v>-4.2986785543702721E-3</v>
      </c>
      <c r="E11" s="10">
        <f t="shared" si="1"/>
        <v>-0.13833011848994214</v>
      </c>
      <c r="F11" s="9" t="s">
        <v>62</v>
      </c>
    </row>
    <row r="12" spans="2:6" ht="15" thickBot="1" x14ac:dyDescent="0.35">
      <c r="B12" s="4" t="s">
        <v>63</v>
      </c>
      <c r="C12" s="5">
        <f>SUM(Histórico!D101:AH112)</f>
        <v>8548</v>
      </c>
      <c r="D12" s="7">
        <f t="shared" si="0"/>
        <v>0.36092978825027866</v>
      </c>
      <c r="E12" s="7">
        <f t="shared" si="1"/>
        <v>0.36680524464342823</v>
      </c>
      <c r="F12" s="6"/>
    </row>
    <row r="13" spans="2:6" ht="15" thickBot="1" x14ac:dyDescent="0.35">
      <c r="B13" s="4" t="s">
        <v>64</v>
      </c>
      <c r="C13" s="11">
        <f>SUM(Histórico!D113:AH124)</f>
        <v>11910</v>
      </c>
      <c r="D13" s="7">
        <f>(C13/Histórico!AJ5)-1</f>
        <v>0.89619487342779802</v>
      </c>
      <c r="E13" s="7">
        <f>(C13/Histórico!AJ101)-1</f>
        <v>0.39330837622835757</v>
      </c>
      <c r="F13" s="32" t="s">
        <v>65</v>
      </c>
    </row>
    <row r="14" spans="2:6" ht="15" thickBot="1" x14ac:dyDescent="0.35">
      <c r="B14" s="4" t="s">
        <v>66</v>
      </c>
      <c r="C14" s="11">
        <f>Histórico!AI125</f>
        <v>1634</v>
      </c>
      <c r="D14" s="7">
        <f>(C14/Histórico!AI5)-1</f>
        <v>2.1789883268482488</v>
      </c>
      <c r="E14" s="7">
        <f>(C14/Histórico!AI113)-1</f>
        <v>1.9817518248175183</v>
      </c>
      <c r="F14" s="32" t="s">
        <v>67</v>
      </c>
    </row>
    <row r="19" spans="2:6" ht="15" thickBot="1" x14ac:dyDescent="0.35"/>
    <row r="20" spans="2:6" ht="21.6" thickBot="1" x14ac:dyDescent="0.35">
      <c r="B20" s="343" t="s">
        <v>47</v>
      </c>
      <c r="C20" s="344"/>
      <c r="D20" s="344"/>
      <c r="E20" s="344"/>
      <c r="F20" s="345"/>
    </row>
    <row r="21" spans="2:6" ht="15" thickBot="1" x14ac:dyDescent="0.35">
      <c r="B21" s="2" t="s">
        <v>48</v>
      </c>
      <c r="C21" s="3" t="s">
        <v>49</v>
      </c>
      <c r="D21" s="3" t="s">
        <v>68</v>
      </c>
      <c r="E21" s="3" t="s">
        <v>51</v>
      </c>
      <c r="F21" s="3" t="s">
        <v>52</v>
      </c>
    </row>
    <row r="22" spans="2:6" ht="15" thickBot="1" x14ac:dyDescent="0.35">
      <c r="B22" s="4" t="s">
        <v>69</v>
      </c>
      <c r="C22" s="5">
        <f>SUM(Histórico!D5:AH11)</f>
        <v>3689</v>
      </c>
      <c r="D22" s="5" t="s">
        <v>54</v>
      </c>
      <c r="E22" s="5" t="s">
        <v>54</v>
      </c>
      <c r="F22" s="5"/>
    </row>
    <row r="23" spans="2:6" ht="15" thickBot="1" x14ac:dyDescent="0.35">
      <c r="B23" s="4">
        <v>2014</v>
      </c>
      <c r="C23" s="5">
        <f>SUM(Histórico!D12:AH23)</f>
        <v>6974</v>
      </c>
      <c r="D23" s="5" t="s">
        <v>54</v>
      </c>
      <c r="E23" s="5" t="s">
        <v>54</v>
      </c>
      <c r="F23" s="5"/>
    </row>
    <row r="24" spans="2:6" ht="15" thickBot="1" x14ac:dyDescent="0.35">
      <c r="B24" s="4">
        <v>2015</v>
      </c>
      <c r="C24" s="5">
        <f>SUM(Histórico!D24:AH35)</f>
        <v>7856</v>
      </c>
      <c r="D24" s="7">
        <f>(C24/$C$23)-1</f>
        <v>0.12646974476627482</v>
      </c>
      <c r="E24" s="7">
        <f>(C24/C23)-1</f>
        <v>0.12646974476627482</v>
      </c>
      <c r="F24" s="5"/>
    </row>
    <row r="25" spans="2:6" ht="15" thickBot="1" x14ac:dyDescent="0.35">
      <c r="B25" s="4">
        <v>2016</v>
      </c>
      <c r="C25" s="5">
        <f>SUM(Histórico!D36:AH47)</f>
        <v>6828</v>
      </c>
      <c r="D25" s="7">
        <f t="shared" ref="D25:D31" si="2">(C25/$C$23)-1</f>
        <v>-2.0934901061083977E-2</v>
      </c>
      <c r="E25" s="7">
        <f t="shared" ref="E25:E31" si="3">(C25/C24)-1</f>
        <v>-0.13085539714867622</v>
      </c>
      <c r="F25" s="5"/>
    </row>
    <row r="26" spans="2:6" ht="15" thickBot="1" x14ac:dyDescent="0.35">
      <c r="B26" s="4">
        <v>2017</v>
      </c>
      <c r="C26" s="5">
        <f>SUM(Histórico!D48:AH59)</f>
        <v>6850</v>
      </c>
      <c r="D26" s="7">
        <f t="shared" si="2"/>
        <v>-1.7780326928591883E-2</v>
      </c>
      <c r="E26" s="7">
        <f t="shared" si="3"/>
        <v>3.222026947861778E-3</v>
      </c>
      <c r="F26" s="5"/>
    </row>
    <row r="27" spans="2:6" ht="15" thickBot="1" x14ac:dyDescent="0.35">
      <c r="B27" s="4">
        <v>2018</v>
      </c>
      <c r="C27" s="5">
        <f>SUM(Histórico!D60:AH71)</f>
        <v>7265</v>
      </c>
      <c r="D27" s="7">
        <f t="shared" si="2"/>
        <v>4.172641238887298E-2</v>
      </c>
      <c r="E27" s="7">
        <f t="shared" si="3"/>
        <v>6.0583941605839353E-2</v>
      </c>
      <c r="F27" s="5"/>
    </row>
    <row r="28" spans="2:6" ht="15" thickBot="1" x14ac:dyDescent="0.35">
      <c r="B28" s="4">
        <v>2019</v>
      </c>
      <c r="C28" s="5">
        <f>SUM(Histórico!D72:AH83)</f>
        <v>7973</v>
      </c>
      <c r="D28" s="7">
        <f t="shared" si="2"/>
        <v>0.14324634356180099</v>
      </c>
      <c r="E28" s="7">
        <f t="shared" si="3"/>
        <v>9.7453544390915248E-2</v>
      </c>
      <c r="F28" s="5"/>
    </row>
    <row r="29" spans="2:6" ht="15" thickBot="1" x14ac:dyDescent="0.35">
      <c r="B29" s="8">
        <v>2020</v>
      </c>
      <c r="C29" s="9">
        <f>SUM(Histórico!D84:AH95)</f>
        <v>5630</v>
      </c>
      <c r="D29" s="10">
        <f t="shared" si="2"/>
        <v>-0.19271580154860912</v>
      </c>
      <c r="E29" s="10">
        <f t="shared" si="3"/>
        <v>-0.29386680045152391</v>
      </c>
      <c r="F29" s="9" t="s">
        <v>62</v>
      </c>
    </row>
    <row r="30" spans="2:6" ht="15" thickBot="1" x14ac:dyDescent="0.35">
      <c r="B30" s="4">
        <v>2021</v>
      </c>
      <c r="C30" s="5">
        <f>SUM(Histórico!D96:AH107)</f>
        <v>7896</v>
      </c>
      <c r="D30" s="7">
        <f t="shared" si="2"/>
        <v>0.13220533409807866</v>
      </c>
      <c r="E30" s="7">
        <f t="shared" si="3"/>
        <v>0.4024866785079928</v>
      </c>
      <c r="F30" s="6"/>
    </row>
    <row r="31" spans="2:6" ht="15" thickBot="1" x14ac:dyDescent="0.35">
      <c r="B31" s="4">
        <v>2022</v>
      </c>
      <c r="C31" s="11">
        <f>SUM(Histórico!D108:AH119)</f>
        <v>8591</v>
      </c>
      <c r="D31" s="7">
        <f t="shared" si="2"/>
        <v>0.23186119873817024</v>
      </c>
      <c r="E31" s="7">
        <f t="shared" si="3"/>
        <v>8.8019250253292824E-2</v>
      </c>
      <c r="F31" s="6"/>
    </row>
    <row r="32" spans="2:6" ht="15" thickBot="1" x14ac:dyDescent="0.35">
      <c r="B32" s="4" t="s">
        <v>70</v>
      </c>
      <c r="C32" s="11">
        <f>SUM(Histórico!D120:AH131)</f>
        <v>18209</v>
      </c>
      <c r="D32" s="5"/>
      <c r="E32" s="5"/>
      <c r="F32" s="5"/>
    </row>
    <row r="34" spans="2:2" x14ac:dyDescent="0.3">
      <c r="B34" t="s">
        <v>71</v>
      </c>
    </row>
    <row r="35" spans="2:2" x14ac:dyDescent="0.3">
      <c r="B35" t="s">
        <v>72</v>
      </c>
    </row>
  </sheetData>
  <mergeCells count="2">
    <mergeCell ref="B2:F2"/>
    <mergeCell ref="B20:F20"/>
  </mergeCells>
  <phoneticPr fontId="6" type="noConversion"/>
  <pageMargins left="0.7" right="0.7" top="0.75" bottom="0.75" header="0.3" footer="0.3"/>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9B69A-CEE0-4B0B-B30C-02E3052F70AA}">
  <sheetPr codeName="Hoja8"/>
  <dimension ref="B3:K17"/>
  <sheetViews>
    <sheetView workbookViewId="0">
      <selection activeCell="F22" sqref="F22"/>
    </sheetView>
  </sheetViews>
  <sheetFormatPr baseColWidth="10" defaultColWidth="8.77734375" defaultRowHeight="14.4" x14ac:dyDescent="0.3"/>
  <cols>
    <col min="2" max="2" width="28.21875" customWidth="1"/>
    <col min="3" max="3" width="17.77734375" customWidth="1"/>
    <col min="4" max="4" width="9.21875" bestFit="1" customWidth="1"/>
    <col min="5" max="5" width="12.21875" customWidth="1"/>
    <col min="6" max="6" width="16.21875" customWidth="1"/>
    <col min="7" max="7" width="11" bestFit="1" customWidth="1"/>
    <col min="8" max="8" width="11.77734375" bestFit="1" customWidth="1"/>
    <col min="9" max="9" width="14" customWidth="1"/>
    <col min="10" max="10" width="9.5546875" customWidth="1"/>
    <col min="11" max="11" width="46.77734375" customWidth="1"/>
  </cols>
  <sheetData>
    <row r="3" spans="2:11" x14ac:dyDescent="0.3">
      <c r="E3" s="353" t="s">
        <v>73</v>
      </c>
      <c r="F3" s="351"/>
      <c r="G3" s="352"/>
      <c r="H3" s="351" t="s">
        <v>74</v>
      </c>
      <c r="I3" s="351"/>
      <c r="J3" s="352"/>
    </row>
    <row r="4" spans="2:11" x14ac:dyDescent="0.3">
      <c r="B4" s="112" t="s">
        <v>75</v>
      </c>
      <c r="C4" s="112" t="s">
        <v>48</v>
      </c>
      <c r="D4" s="122">
        <v>7</v>
      </c>
      <c r="E4" s="113" t="s">
        <v>76</v>
      </c>
      <c r="F4" s="112" t="s">
        <v>77</v>
      </c>
      <c r="G4" s="114" t="s">
        <v>78</v>
      </c>
      <c r="H4" s="123" t="s">
        <v>76</v>
      </c>
      <c r="I4" s="112" t="s">
        <v>77</v>
      </c>
      <c r="J4" s="114" t="s">
        <v>78</v>
      </c>
      <c r="K4" s="123" t="s">
        <v>79</v>
      </c>
    </row>
    <row r="5" spans="2:11" x14ac:dyDescent="0.3">
      <c r="B5" s="354" t="s">
        <v>80</v>
      </c>
      <c r="C5" s="108" t="s">
        <v>81</v>
      </c>
      <c r="D5" s="109"/>
      <c r="E5" s="115">
        <v>0.99609400000000003</v>
      </c>
      <c r="F5" s="124"/>
      <c r="G5" s="128"/>
      <c r="H5" s="135">
        <v>0.99959799999999999</v>
      </c>
      <c r="I5" s="109"/>
      <c r="J5" s="116"/>
      <c r="K5" s="358"/>
    </row>
    <row r="6" spans="2:11" x14ac:dyDescent="0.3">
      <c r="B6" s="355"/>
      <c r="C6" s="104" t="s">
        <v>82</v>
      </c>
      <c r="D6" s="111"/>
      <c r="E6" s="117">
        <v>1.008448</v>
      </c>
      <c r="F6" s="105">
        <f>$C$15*E6</f>
        <v>5313449.4234931199</v>
      </c>
      <c r="G6" s="130"/>
      <c r="H6" s="136">
        <v>1.009684</v>
      </c>
      <c r="I6" s="105">
        <f>$C$15*H6</f>
        <v>5319961.8301689597</v>
      </c>
      <c r="J6" s="118"/>
      <c r="K6" s="349"/>
    </row>
    <row r="7" spans="2:11" x14ac:dyDescent="0.3">
      <c r="B7" s="356" t="s">
        <v>83</v>
      </c>
      <c r="C7" s="108" t="s">
        <v>81</v>
      </c>
      <c r="D7" s="109"/>
      <c r="E7" s="115">
        <v>0.99461999999999995</v>
      </c>
      <c r="F7" s="124"/>
      <c r="G7" s="128"/>
      <c r="H7" s="137">
        <v>0.99943400000000004</v>
      </c>
      <c r="I7" s="108"/>
      <c r="J7" s="116"/>
      <c r="K7" s="358"/>
    </row>
    <row r="8" spans="2:11" x14ac:dyDescent="0.3">
      <c r="B8" s="357"/>
      <c r="C8" s="106" t="s">
        <v>82</v>
      </c>
      <c r="D8" s="107"/>
      <c r="E8" s="117">
        <v>1.008</v>
      </c>
      <c r="F8" s="105">
        <f>$C$15*E8</f>
        <v>5311088.9395199995</v>
      </c>
      <c r="G8" s="143">
        <f>F8-F6</f>
        <v>-2360.4839731203392</v>
      </c>
      <c r="H8" s="138">
        <v>1.0096339999999999</v>
      </c>
      <c r="I8" s="105">
        <f>$C$15*H8</f>
        <v>5319698.3832969591</v>
      </c>
      <c r="J8" s="119">
        <f>I8-$I$6</f>
        <v>-263.44687200058252</v>
      </c>
      <c r="K8" s="359"/>
    </row>
    <row r="9" spans="2:11" x14ac:dyDescent="0.3">
      <c r="B9" s="360" t="s">
        <v>84</v>
      </c>
      <c r="C9" s="103" t="s">
        <v>81</v>
      </c>
      <c r="D9" s="110"/>
      <c r="E9" s="133"/>
      <c r="F9" s="127"/>
      <c r="G9" s="134"/>
      <c r="H9" s="139">
        <v>0.99964399999999998</v>
      </c>
      <c r="I9" s="110"/>
      <c r="J9" s="120"/>
      <c r="K9" s="348"/>
    </row>
    <row r="10" spans="2:11" x14ac:dyDescent="0.3">
      <c r="B10" s="361"/>
      <c r="C10" s="106" t="s">
        <v>82</v>
      </c>
      <c r="D10" s="107"/>
      <c r="E10" s="131"/>
      <c r="F10" s="126"/>
      <c r="G10" s="132"/>
      <c r="H10" s="140">
        <v>1.009698</v>
      </c>
      <c r="I10" s="105">
        <f>$C$15*H10</f>
        <v>5320035.5952931195</v>
      </c>
      <c r="J10" s="119">
        <f>I10-$I$6</f>
        <v>73.765124159865081</v>
      </c>
      <c r="K10" s="359"/>
    </row>
    <row r="11" spans="2:11" x14ac:dyDescent="0.3">
      <c r="B11" s="346" t="s">
        <v>85</v>
      </c>
      <c r="C11" s="103" t="s">
        <v>81</v>
      </c>
      <c r="D11" s="110"/>
      <c r="E11" s="133"/>
      <c r="F11" s="127"/>
      <c r="G11" s="134"/>
      <c r="H11" s="141">
        <v>0.99939599999999995</v>
      </c>
      <c r="I11" s="103"/>
      <c r="J11" s="120"/>
      <c r="K11" s="348"/>
    </row>
    <row r="12" spans="2:11" x14ac:dyDescent="0.3">
      <c r="B12" s="347"/>
      <c r="C12" s="104" t="s">
        <v>82</v>
      </c>
      <c r="D12" s="111"/>
      <c r="E12" s="129"/>
      <c r="F12" s="125"/>
      <c r="G12" s="130"/>
      <c r="H12" s="142">
        <v>1.0096229999999999</v>
      </c>
      <c r="I12" s="105">
        <f>$C$15*H12</f>
        <v>5319640.4249851191</v>
      </c>
      <c r="J12" s="121">
        <f>I12-$I$6</f>
        <v>-321.40518384054303</v>
      </c>
      <c r="K12" s="349"/>
    </row>
    <row r="15" spans="2:11" x14ac:dyDescent="0.3">
      <c r="B15" s="144" t="s">
        <v>86</v>
      </c>
      <c r="C15" s="145">
        <v>5268937.4399999995</v>
      </c>
      <c r="D15" s="146">
        <v>1</v>
      </c>
    </row>
    <row r="16" spans="2:11" x14ac:dyDescent="0.3">
      <c r="C16" s="102">
        <f>C15*D16</f>
        <v>5320604.6405366398</v>
      </c>
      <c r="D16">
        <v>1.009806</v>
      </c>
    </row>
    <row r="17" spans="2:10" ht="63.75" customHeight="1" x14ac:dyDescent="0.3">
      <c r="B17" s="350" t="s">
        <v>87</v>
      </c>
      <c r="C17" s="350"/>
      <c r="D17" s="350"/>
      <c r="E17" s="350"/>
      <c r="F17" s="350"/>
      <c r="G17" s="350"/>
      <c r="H17" s="350"/>
      <c r="I17" s="350"/>
      <c r="J17" s="350"/>
    </row>
  </sheetData>
  <mergeCells count="11">
    <mergeCell ref="B11:B12"/>
    <mergeCell ref="K11:K12"/>
    <mergeCell ref="B17:J17"/>
    <mergeCell ref="H3:J3"/>
    <mergeCell ref="E3:G3"/>
    <mergeCell ref="B5:B6"/>
    <mergeCell ref="B7:B8"/>
    <mergeCell ref="K5:K6"/>
    <mergeCell ref="K7:K8"/>
    <mergeCell ref="B9:B10"/>
    <mergeCell ref="K9:K10"/>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7BE25-9E7B-4667-8006-134AD0F8CB7A}">
  <sheetPr codeName="Hoja3">
    <pageSetUpPr fitToPage="1"/>
  </sheetPr>
  <dimension ref="B1:BZ42"/>
  <sheetViews>
    <sheetView zoomScale="70" zoomScaleNormal="70" workbookViewId="0">
      <selection activeCell="B3" sqref="B3:E3"/>
    </sheetView>
  </sheetViews>
  <sheetFormatPr baseColWidth="10" defaultColWidth="11.44140625" defaultRowHeight="13.2" x14ac:dyDescent="0.25"/>
  <cols>
    <col min="1" max="1" width="2.21875" style="38" customWidth="1"/>
    <col min="2" max="2" width="11.77734375" style="37" customWidth="1"/>
    <col min="3" max="5" width="12.77734375" style="38" customWidth="1"/>
    <col min="6" max="6" width="5.77734375" style="38" customWidth="1"/>
    <col min="7" max="7" width="6.21875" style="38" customWidth="1"/>
    <col min="8" max="8" width="4" style="38" customWidth="1"/>
    <col min="9" max="9" width="6.21875" style="38" customWidth="1"/>
    <col min="10" max="10" width="5" style="38" customWidth="1"/>
    <col min="11" max="11" width="5.77734375" style="38" customWidth="1"/>
    <col min="12" max="12" width="5" style="38" customWidth="1"/>
    <col min="13" max="31" width="3.77734375" style="38" customWidth="1"/>
    <col min="32" max="32" width="4.77734375" style="38" bestFit="1" customWidth="1"/>
    <col min="33" max="33" width="3.77734375" style="38" customWidth="1"/>
    <col min="34" max="42" width="4.77734375" style="38" bestFit="1" customWidth="1"/>
    <col min="43" max="43" width="3.77734375" style="38" customWidth="1"/>
    <col min="44" max="44" width="7.77734375" style="38" customWidth="1"/>
    <col min="45" max="16384" width="11.44140625" style="38"/>
  </cols>
  <sheetData>
    <row r="1" spans="2:42" ht="11.25" customHeight="1" thickBot="1" x14ac:dyDescent="0.3"/>
    <row r="2" spans="2:42" ht="50.25" customHeight="1" thickBot="1" x14ac:dyDescent="0.3">
      <c r="B2" s="380" t="s">
        <v>88</v>
      </c>
      <c r="C2" s="380"/>
      <c r="D2" s="380"/>
      <c r="E2" s="380"/>
      <c r="G2" s="374" t="s">
        <v>6</v>
      </c>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6"/>
    </row>
    <row r="3" spans="2:42" ht="24" customHeight="1" x14ac:dyDescent="0.25">
      <c r="B3" s="379">
        <v>44927</v>
      </c>
      <c r="C3" s="379"/>
      <c r="D3" s="379"/>
      <c r="E3" s="379"/>
      <c r="F3" s="40"/>
      <c r="G3" s="41"/>
      <c r="H3" s="42"/>
      <c r="I3" s="42"/>
      <c r="J3" s="4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43"/>
    </row>
    <row r="4" spans="2:42" ht="33.75" customHeight="1" thickBot="1" x14ac:dyDescent="0.3">
      <c r="B4" s="377" t="s">
        <v>10</v>
      </c>
      <c r="C4" s="381" t="s">
        <v>7</v>
      </c>
      <c r="D4" s="381"/>
      <c r="E4" s="381"/>
      <c r="F4" s="40"/>
      <c r="G4" s="45"/>
      <c r="H4" s="46"/>
      <c r="I4" s="46"/>
      <c r="J4" s="46"/>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8"/>
    </row>
    <row r="5" spans="2:42" ht="23.25" customHeight="1" x14ac:dyDescent="0.25">
      <c r="B5" s="377"/>
      <c r="C5" s="382" t="s">
        <v>9</v>
      </c>
      <c r="D5" s="382"/>
      <c r="E5" s="382"/>
      <c r="G5" s="49"/>
      <c r="H5" s="312" t="s">
        <v>8</v>
      </c>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4"/>
      <c r="AP5" s="48"/>
    </row>
    <row r="6" spans="2:42" ht="23.25" customHeight="1" thickBot="1" x14ac:dyDescent="0.3">
      <c r="B6" s="377" t="s">
        <v>89</v>
      </c>
      <c r="C6" s="50" t="s">
        <v>90</v>
      </c>
      <c r="D6" s="50" t="s">
        <v>91</v>
      </c>
      <c r="E6" s="50" t="s">
        <v>92</v>
      </c>
      <c r="G6" s="49"/>
      <c r="H6" s="373"/>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7"/>
      <c r="AP6" s="48"/>
    </row>
    <row r="7" spans="2:42" s="40" customFormat="1" ht="23.25" customHeight="1" x14ac:dyDescent="0.3">
      <c r="B7" s="95">
        <v>1</v>
      </c>
      <c r="C7" s="96">
        <v>4</v>
      </c>
      <c r="D7" s="51">
        <v>20</v>
      </c>
      <c r="E7" s="52">
        <v>12</v>
      </c>
      <c r="F7" s="53"/>
      <c r="G7" s="45"/>
      <c r="H7" s="383">
        <f>B3</f>
        <v>44927</v>
      </c>
      <c r="I7" s="54"/>
      <c r="J7" s="54"/>
      <c r="K7" s="365" t="s">
        <v>2</v>
      </c>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55"/>
    </row>
    <row r="8" spans="2:42" s="40" customFormat="1" ht="23.25" customHeight="1" x14ac:dyDescent="0.3">
      <c r="B8" s="56">
        <v>2</v>
      </c>
      <c r="C8" s="97">
        <v>4</v>
      </c>
      <c r="D8" s="58">
        <v>26</v>
      </c>
      <c r="E8" s="57">
        <v>16</v>
      </c>
      <c r="F8" s="53"/>
      <c r="G8" s="45"/>
      <c r="H8" s="384"/>
      <c r="I8" s="368"/>
      <c r="J8" s="368"/>
      <c r="K8" s="100">
        <v>1</v>
      </c>
      <c r="L8" s="100">
        <v>2</v>
      </c>
      <c r="M8" s="100">
        <v>3</v>
      </c>
      <c r="N8" s="100">
        <v>4</v>
      </c>
      <c r="O8" s="100">
        <v>5</v>
      </c>
      <c r="P8" s="100">
        <v>6</v>
      </c>
      <c r="Q8" s="100">
        <v>7</v>
      </c>
      <c r="R8" s="100">
        <v>8</v>
      </c>
      <c r="S8" s="100">
        <v>9</v>
      </c>
      <c r="T8" s="100">
        <v>10</v>
      </c>
      <c r="U8" s="100">
        <v>11</v>
      </c>
      <c r="V8" s="100">
        <v>12</v>
      </c>
      <c r="W8" s="100">
        <v>13</v>
      </c>
      <c r="X8" s="100">
        <v>14</v>
      </c>
      <c r="Y8" s="100">
        <v>15</v>
      </c>
      <c r="Z8" s="100">
        <v>16</v>
      </c>
      <c r="AA8" s="100">
        <v>17</v>
      </c>
      <c r="AB8" s="100">
        <v>18</v>
      </c>
      <c r="AC8" s="100">
        <v>19</v>
      </c>
      <c r="AD8" s="100">
        <v>20</v>
      </c>
      <c r="AE8" s="100">
        <v>21</v>
      </c>
      <c r="AF8" s="100">
        <v>22</v>
      </c>
      <c r="AG8" s="100">
        <v>23</v>
      </c>
      <c r="AH8" s="100">
        <v>24</v>
      </c>
      <c r="AI8" s="100">
        <v>25</v>
      </c>
      <c r="AJ8" s="100">
        <v>26</v>
      </c>
      <c r="AK8" s="100">
        <v>27</v>
      </c>
      <c r="AL8" s="100">
        <v>28</v>
      </c>
      <c r="AM8" s="100">
        <v>29</v>
      </c>
      <c r="AN8" s="100">
        <v>30</v>
      </c>
      <c r="AO8" s="100">
        <v>31</v>
      </c>
      <c r="AP8" s="55"/>
    </row>
    <row r="9" spans="2:42" s="40" customFormat="1" ht="23.25" customHeight="1" x14ac:dyDescent="0.3">
      <c r="B9" s="56">
        <v>3</v>
      </c>
      <c r="C9" s="97">
        <v>4</v>
      </c>
      <c r="D9" s="58">
        <v>26</v>
      </c>
      <c r="E9" s="57">
        <v>16</v>
      </c>
      <c r="F9" s="53"/>
      <c r="G9" s="45"/>
      <c r="H9" s="384"/>
      <c r="I9" s="378" t="s">
        <v>90</v>
      </c>
      <c r="J9" s="378"/>
      <c r="K9" s="99">
        <f t="array" ref="K9:AO9">TRANSPOSE(C7:C37)</f>
        <v>4</v>
      </c>
      <c r="L9" s="99">
        <v>4</v>
      </c>
      <c r="M9" s="99">
        <v>4</v>
      </c>
      <c r="N9" s="99">
        <v>4</v>
      </c>
      <c r="O9" s="99">
        <v>4</v>
      </c>
      <c r="P9" s="99">
        <v>4</v>
      </c>
      <c r="Q9" s="99">
        <v>4</v>
      </c>
      <c r="R9" s="99">
        <v>4</v>
      </c>
      <c r="S9" s="99">
        <v>4</v>
      </c>
      <c r="T9" s="99">
        <v>4</v>
      </c>
      <c r="U9" s="99">
        <v>4</v>
      </c>
      <c r="V9" s="99">
        <v>4</v>
      </c>
      <c r="W9" s="99">
        <v>4</v>
      </c>
      <c r="X9" s="99">
        <v>4</v>
      </c>
      <c r="Y9" s="99">
        <v>4</v>
      </c>
      <c r="Z9" s="99">
        <v>4</v>
      </c>
      <c r="AA9" s="99">
        <v>4</v>
      </c>
      <c r="AB9" s="99">
        <v>4</v>
      </c>
      <c r="AC9" s="99">
        <v>4</v>
      </c>
      <c r="AD9" s="99">
        <v>4</v>
      </c>
      <c r="AE9" s="99">
        <v>3</v>
      </c>
      <c r="AF9" s="99">
        <v>4</v>
      </c>
      <c r="AG9" s="99">
        <v>4</v>
      </c>
      <c r="AH9" s="99">
        <v>4</v>
      </c>
      <c r="AI9" s="99">
        <v>4</v>
      </c>
      <c r="AJ9" s="99">
        <v>4</v>
      </c>
      <c r="AK9" s="99">
        <v>4</v>
      </c>
      <c r="AL9" s="99">
        <v>4</v>
      </c>
      <c r="AM9" s="99">
        <v>4</v>
      </c>
      <c r="AN9" s="99">
        <v>4</v>
      </c>
      <c r="AO9" s="99">
        <v>4</v>
      </c>
      <c r="AP9" s="62">
        <f>SUM(K9:AO9)</f>
        <v>123</v>
      </c>
    </row>
    <row r="10" spans="2:42" s="40" customFormat="1" ht="23.25" customHeight="1" x14ac:dyDescent="0.3">
      <c r="B10" s="56">
        <v>4</v>
      </c>
      <c r="C10" s="97">
        <v>4</v>
      </c>
      <c r="D10" s="58">
        <v>26</v>
      </c>
      <c r="E10" s="57">
        <v>16</v>
      </c>
      <c r="F10" s="53"/>
      <c r="G10" s="45"/>
      <c r="H10" s="384"/>
      <c r="I10" s="378" t="s">
        <v>91</v>
      </c>
      <c r="J10" s="378"/>
      <c r="K10" s="61">
        <f t="array" ref="K10:AO10">TRANSPOSE(D7:D37)</f>
        <v>20</v>
      </c>
      <c r="L10" s="61">
        <v>26</v>
      </c>
      <c r="M10" s="61">
        <v>26</v>
      </c>
      <c r="N10" s="61">
        <v>26</v>
      </c>
      <c r="O10" s="61">
        <v>27</v>
      </c>
      <c r="P10" s="61">
        <v>21</v>
      </c>
      <c r="Q10" s="61">
        <v>19</v>
      </c>
      <c r="R10" s="61">
        <v>22</v>
      </c>
      <c r="S10" s="61">
        <v>26</v>
      </c>
      <c r="T10" s="61">
        <v>26</v>
      </c>
      <c r="U10" s="61">
        <v>26</v>
      </c>
      <c r="V10" s="61">
        <v>26</v>
      </c>
      <c r="W10" s="61">
        <v>26</v>
      </c>
      <c r="X10" s="61">
        <v>19</v>
      </c>
      <c r="Y10" s="61">
        <v>22</v>
      </c>
      <c r="Z10" s="61">
        <v>26</v>
      </c>
      <c r="AA10" s="61">
        <v>26</v>
      </c>
      <c r="AB10" s="61">
        <v>26</v>
      </c>
      <c r="AC10" s="61">
        <v>26</v>
      </c>
      <c r="AD10" s="61">
        <v>26</v>
      </c>
      <c r="AE10" s="61">
        <v>19</v>
      </c>
      <c r="AF10" s="61">
        <v>22</v>
      </c>
      <c r="AG10" s="61">
        <v>26</v>
      </c>
      <c r="AH10" s="61">
        <v>26</v>
      </c>
      <c r="AI10" s="61">
        <v>25</v>
      </c>
      <c r="AJ10" s="61">
        <v>26</v>
      </c>
      <c r="AK10" s="61">
        <v>26</v>
      </c>
      <c r="AL10" s="61">
        <v>20</v>
      </c>
      <c r="AM10" s="61">
        <v>22</v>
      </c>
      <c r="AN10" s="61">
        <v>26</v>
      </c>
      <c r="AO10" s="61">
        <v>26</v>
      </c>
      <c r="AP10" s="55"/>
    </row>
    <row r="11" spans="2:42" s="40" customFormat="1" ht="23.25" customHeight="1" x14ac:dyDescent="0.3">
      <c r="B11" s="56">
        <v>5</v>
      </c>
      <c r="C11" s="97">
        <v>4</v>
      </c>
      <c r="D11" s="58">
        <v>27</v>
      </c>
      <c r="E11" s="57">
        <v>16</v>
      </c>
      <c r="F11" s="53"/>
      <c r="G11" s="45"/>
      <c r="H11" s="384"/>
      <c r="I11" s="370" t="s">
        <v>92</v>
      </c>
      <c r="J11" s="370"/>
      <c r="K11" s="63">
        <f t="array" ref="K11:AO11">TRANSPOSE(E7:E37)</f>
        <v>12</v>
      </c>
      <c r="L11" s="63">
        <v>16</v>
      </c>
      <c r="M11" s="63">
        <v>16</v>
      </c>
      <c r="N11" s="63">
        <v>16</v>
      </c>
      <c r="O11" s="63">
        <v>16</v>
      </c>
      <c r="P11" s="63">
        <v>12</v>
      </c>
      <c r="Q11" s="63">
        <v>12</v>
      </c>
      <c r="R11" s="63">
        <v>12</v>
      </c>
      <c r="S11" s="63">
        <v>16</v>
      </c>
      <c r="T11" s="63">
        <v>16</v>
      </c>
      <c r="U11" s="63">
        <v>16</v>
      </c>
      <c r="V11" s="63">
        <v>16</v>
      </c>
      <c r="W11" s="63">
        <v>16</v>
      </c>
      <c r="X11" s="63">
        <v>12</v>
      </c>
      <c r="Y11" s="63">
        <v>12</v>
      </c>
      <c r="Z11" s="63">
        <v>16</v>
      </c>
      <c r="AA11" s="63">
        <v>16</v>
      </c>
      <c r="AB11" s="63">
        <v>16</v>
      </c>
      <c r="AC11" s="63">
        <v>16</v>
      </c>
      <c r="AD11" s="63">
        <v>16</v>
      </c>
      <c r="AE11" s="63">
        <v>12</v>
      </c>
      <c r="AF11" s="63">
        <v>12</v>
      </c>
      <c r="AG11" s="63">
        <v>16</v>
      </c>
      <c r="AH11" s="63">
        <v>16</v>
      </c>
      <c r="AI11" s="63">
        <v>16</v>
      </c>
      <c r="AJ11" s="63">
        <v>16</v>
      </c>
      <c r="AK11" s="63">
        <v>16</v>
      </c>
      <c r="AL11" s="63">
        <v>12</v>
      </c>
      <c r="AM11" s="63">
        <v>12</v>
      </c>
      <c r="AN11" s="63">
        <v>16</v>
      </c>
      <c r="AO11" s="63">
        <v>16</v>
      </c>
      <c r="AP11" s="55"/>
    </row>
    <row r="12" spans="2:42" s="40" customFormat="1" ht="23.25" customHeight="1" x14ac:dyDescent="0.3">
      <c r="B12" s="56">
        <v>6</v>
      </c>
      <c r="C12" s="97">
        <v>4</v>
      </c>
      <c r="D12" s="58">
        <v>21</v>
      </c>
      <c r="E12" s="57">
        <v>12</v>
      </c>
      <c r="F12" s="53"/>
      <c r="G12" s="45"/>
      <c r="H12" s="384"/>
      <c r="I12" s="372" t="s">
        <v>3</v>
      </c>
      <c r="J12" s="372"/>
      <c r="K12" s="64">
        <f>K9+K10+K11</f>
        <v>36</v>
      </c>
      <c r="L12" s="64">
        <f t="shared" ref="L12:AO12" si="0">L9+L10+L11</f>
        <v>46</v>
      </c>
      <c r="M12" s="64">
        <f t="shared" si="0"/>
        <v>46</v>
      </c>
      <c r="N12" s="64">
        <f t="shared" si="0"/>
        <v>46</v>
      </c>
      <c r="O12" s="64">
        <f t="shared" si="0"/>
        <v>47</v>
      </c>
      <c r="P12" s="64">
        <f t="shared" si="0"/>
        <v>37</v>
      </c>
      <c r="Q12" s="64">
        <f t="shared" si="0"/>
        <v>35</v>
      </c>
      <c r="R12" s="64">
        <f t="shared" si="0"/>
        <v>38</v>
      </c>
      <c r="S12" s="64">
        <f t="shared" si="0"/>
        <v>46</v>
      </c>
      <c r="T12" s="64">
        <f t="shared" si="0"/>
        <v>46</v>
      </c>
      <c r="U12" s="64">
        <f t="shared" si="0"/>
        <v>46</v>
      </c>
      <c r="V12" s="64">
        <f t="shared" si="0"/>
        <v>46</v>
      </c>
      <c r="W12" s="64">
        <f t="shared" si="0"/>
        <v>46</v>
      </c>
      <c r="X12" s="64">
        <f t="shared" si="0"/>
        <v>35</v>
      </c>
      <c r="Y12" s="64">
        <f t="shared" si="0"/>
        <v>38</v>
      </c>
      <c r="Z12" s="64">
        <f t="shared" si="0"/>
        <v>46</v>
      </c>
      <c r="AA12" s="64">
        <f t="shared" si="0"/>
        <v>46</v>
      </c>
      <c r="AB12" s="64">
        <f t="shared" si="0"/>
        <v>46</v>
      </c>
      <c r="AC12" s="64">
        <f t="shared" si="0"/>
        <v>46</v>
      </c>
      <c r="AD12" s="64">
        <f t="shared" si="0"/>
        <v>46</v>
      </c>
      <c r="AE12" s="64">
        <f t="shared" si="0"/>
        <v>34</v>
      </c>
      <c r="AF12" s="64">
        <f t="shared" si="0"/>
        <v>38</v>
      </c>
      <c r="AG12" s="64">
        <f t="shared" si="0"/>
        <v>46</v>
      </c>
      <c r="AH12" s="64">
        <f t="shared" si="0"/>
        <v>46</v>
      </c>
      <c r="AI12" s="64">
        <f t="shared" si="0"/>
        <v>45</v>
      </c>
      <c r="AJ12" s="64">
        <f t="shared" si="0"/>
        <v>46</v>
      </c>
      <c r="AK12" s="64">
        <f t="shared" si="0"/>
        <v>46</v>
      </c>
      <c r="AL12" s="64">
        <f t="shared" si="0"/>
        <v>36</v>
      </c>
      <c r="AM12" s="64">
        <f t="shared" si="0"/>
        <v>38</v>
      </c>
      <c r="AN12" s="64">
        <f t="shared" si="0"/>
        <v>46</v>
      </c>
      <c r="AO12" s="64">
        <f t="shared" si="0"/>
        <v>46</v>
      </c>
      <c r="AP12" s="55"/>
    </row>
    <row r="13" spans="2:42" s="40" customFormat="1" ht="23.25" customHeight="1" x14ac:dyDescent="0.3">
      <c r="B13" s="56">
        <v>7</v>
      </c>
      <c r="C13" s="97">
        <v>4</v>
      </c>
      <c r="D13" s="58">
        <v>19</v>
      </c>
      <c r="E13" s="57">
        <v>12</v>
      </c>
      <c r="F13" s="53"/>
      <c r="G13" s="45"/>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55"/>
    </row>
    <row r="14" spans="2:42" s="40" customFormat="1" ht="23.25" customHeight="1" x14ac:dyDescent="0.3">
      <c r="B14" s="56">
        <v>8</v>
      </c>
      <c r="C14" s="97">
        <v>4</v>
      </c>
      <c r="D14" s="58">
        <v>22</v>
      </c>
      <c r="E14" s="57">
        <v>12</v>
      </c>
      <c r="F14" s="53"/>
      <c r="G14" s="45"/>
      <c r="H14" s="46"/>
      <c r="I14" s="46"/>
      <c r="J14" s="46"/>
      <c r="K14" s="46"/>
      <c r="L14" s="46"/>
      <c r="M14" s="46"/>
      <c r="N14" s="46"/>
      <c r="O14" s="46"/>
      <c r="P14" s="46"/>
      <c r="Q14" s="46"/>
      <c r="R14" s="46"/>
      <c r="S14" s="46"/>
      <c r="T14" s="46"/>
      <c r="U14" s="46"/>
      <c r="V14" s="46"/>
      <c r="W14" s="46"/>
      <c r="X14" s="46"/>
      <c r="Y14" s="46"/>
      <c r="Z14" s="46"/>
      <c r="AA14" s="46"/>
      <c r="AB14" s="46"/>
      <c r="AC14" s="46"/>
      <c r="AD14" s="46"/>
      <c r="AE14" s="46"/>
      <c r="AF14" s="46"/>
      <c r="AG14" s="46"/>
      <c r="AH14" s="46"/>
      <c r="AI14" s="46"/>
      <c r="AJ14" s="46"/>
      <c r="AK14" s="46"/>
      <c r="AL14" s="46"/>
      <c r="AM14" s="46"/>
      <c r="AN14" s="46"/>
      <c r="AO14" s="46"/>
      <c r="AP14" s="55"/>
    </row>
    <row r="15" spans="2:42" s="40" customFormat="1" ht="23.25" customHeight="1" x14ac:dyDescent="0.3">
      <c r="B15" s="56">
        <v>9</v>
      </c>
      <c r="C15" s="97">
        <v>4</v>
      </c>
      <c r="D15" s="58">
        <v>26</v>
      </c>
      <c r="E15" s="57">
        <v>16</v>
      </c>
      <c r="F15" s="53"/>
      <c r="G15" s="45"/>
      <c r="H15" s="46"/>
      <c r="I15" s="46"/>
      <c r="J15" s="46"/>
      <c r="K15" s="46"/>
      <c r="L15" s="46"/>
      <c r="M15" s="46"/>
      <c r="N15" s="46"/>
      <c r="O15" s="46"/>
      <c r="P15" s="46"/>
      <c r="Q15" s="46"/>
      <c r="R15" s="46"/>
      <c r="S15" s="46"/>
      <c r="T15" s="46"/>
      <c r="U15" s="46"/>
      <c r="V15" s="46"/>
      <c r="W15" s="46"/>
      <c r="X15" s="46"/>
      <c r="Y15" s="46"/>
      <c r="Z15" s="46"/>
      <c r="AA15" s="46"/>
      <c r="AB15" s="46"/>
      <c r="AC15" s="46"/>
      <c r="AD15" s="46"/>
      <c r="AE15" s="46"/>
      <c r="AF15" s="46"/>
      <c r="AG15" s="46"/>
      <c r="AH15" s="46"/>
      <c r="AI15" s="46"/>
      <c r="AJ15" s="46"/>
      <c r="AK15" s="46"/>
      <c r="AL15" s="46"/>
      <c r="AM15" s="46"/>
      <c r="AN15" s="46"/>
      <c r="AO15" s="46"/>
      <c r="AP15" s="55"/>
    </row>
    <row r="16" spans="2:42" s="40" customFormat="1" ht="23.25" customHeight="1" x14ac:dyDescent="0.3">
      <c r="B16" s="56">
        <v>10</v>
      </c>
      <c r="C16" s="97">
        <v>4</v>
      </c>
      <c r="D16" s="58">
        <v>26</v>
      </c>
      <c r="E16" s="57">
        <v>16</v>
      </c>
      <c r="F16" s="53"/>
      <c r="G16" s="45"/>
      <c r="H16" s="46"/>
      <c r="I16" s="46"/>
      <c r="J16" s="46"/>
      <c r="K16" s="46"/>
      <c r="L16" s="46"/>
      <c r="M16" s="46"/>
      <c r="N16" s="46"/>
      <c r="O16" s="46"/>
      <c r="P16" s="46"/>
      <c r="Q16" s="46"/>
      <c r="R16" s="46"/>
      <c r="S16" s="46"/>
      <c r="T16" s="46"/>
      <c r="U16" s="46"/>
      <c r="V16" s="46"/>
      <c r="W16" s="46"/>
      <c r="X16" s="46"/>
      <c r="Y16" s="46"/>
      <c r="Z16" s="46"/>
      <c r="AA16" s="46"/>
      <c r="AB16" s="46"/>
      <c r="AC16" s="46"/>
      <c r="AD16" s="46"/>
      <c r="AE16" s="46"/>
      <c r="AF16" s="46"/>
      <c r="AG16" s="46"/>
      <c r="AH16" s="46"/>
      <c r="AI16" s="46"/>
      <c r="AJ16" s="46"/>
      <c r="AK16" s="46"/>
      <c r="AL16" s="46"/>
      <c r="AM16" s="46"/>
      <c r="AN16" s="46"/>
      <c r="AO16" s="46"/>
      <c r="AP16" s="55"/>
    </row>
    <row r="17" spans="2:42" s="40" customFormat="1" ht="23.25" customHeight="1" thickBot="1" x14ac:dyDescent="0.35">
      <c r="B17" s="56">
        <v>11</v>
      </c>
      <c r="C17" s="97">
        <v>4</v>
      </c>
      <c r="D17" s="58">
        <v>26</v>
      </c>
      <c r="E17" s="57">
        <v>16</v>
      </c>
      <c r="F17" s="53"/>
      <c r="G17" s="45"/>
      <c r="H17" s="46"/>
      <c r="I17" s="46"/>
      <c r="J17" s="46"/>
      <c r="K17" s="46"/>
      <c r="L17" s="46"/>
      <c r="M17" s="46"/>
      <c r="N17" s="46"/>
      <c r="O17" s="46"/>
      <c r="P17" s="46"/>
      <c r="Q17" s="46"/>
      <c r="R17" s="46"/>
      <c r="S17" s="46"/>
      <c r="T17" s="46"/>
      <c r="U17" s="46"/>
      <c r="V17" s="46"/>
      <c r="W17" s="46"/>
      <c r="X17" s="46"/>
      <c r="Y17" s="46"/>
      <c r="Z17" s="46"/>
      <c r="AA17" s="46"/>
      <c r="AB17" s="46"/>
      <c r="AC17" s="46"/>
      <c r="AD17" s="46"/>
      <c r="AE17" s="46"/>
      <c r="AF17" s="46"/>
      <c r="AG17" s="46"/>
      <c r="AH17" s="46"/>
      <c r="AI17" s="46"/>
      <c r="AJ17" s="46"/>
      <c r="AK17" s="46"/>
      <c r="AL17" s="46"/>
      <c r="AM17" s="46"/>
      <c r="AN17" s="46"/>
      <c r="AO17" s="46"/>
      <c r="AP17" s="55"/>
    </row>
    <row r="18" spans="2:42" s="40" customFormat="1" ht="23.25" customHeight="1" x14ac:dyDescent="0.3">
      <c r="B18" s="56">
        <v>12</v>
      </c>
      <c r="C18" s="97">
        <v>4</v>
      </c>
      <c r="D18" s="58">
        <v>26</v>
      </c>
      <c r="E18" s="57">
        <v>16</v>
      </c>
      <c r="F18" s="53"/>
      <c r="G18" s="45"/>
      <c r="H18" s="362">
        <v>44927</v>
      </c>
      <c r="I18" s="54"/>
      <c r="J18" s="54"/>
      <c r="K18" s="365" t="s">
        <v>2</v>
      </c>
      <c r="L18" s="365"/>
      <c r="M18" s="365"/>
      <c r="N18" s="365"/>
      <c r="O18" s="365"/>
      <c r="P18" s="365"/>
      <c r="Q18" s="365"/>
      <c r="R18" s="365"/>
      <c r="S18" s="365"/>
      <c r="T18" s="365"/>
      <c r="U18" s="365"/>
      <c r="V18" s="365"/>
      <c r="W18" s="365"/>
      <c r="X18" s="365"/>
      <c r="Y18" s="365"/>
      <c r="Z18" s="365"/>
      <c r="AA18" s="365"/>
      <c r="AB18" s="365"/>
      <c r="AC18" s="365"/>
      <c r="AD18" s="365"/>
      <c r="AE18" s="365"/>
      <c r="AF18" s="365"/>
      <c r="AG18" s="365"/>
      <c r="AH18" s="365"/>
      <c r="AI18" s="365"/>
      <c r="AJ18" s="365"/>
      <c r="AK18" s="365"/>
      <c r="AL18" s="365"/>
      <c r="AM18" s="365"/>
      <c r="AN18" s="365"/>
      <c r="AO18" s="366"/>
      <c r="AP18" s="55"/>
    </row>
    <row r="19" spans="2:42" s="40" customFormat="1" ht="23.25" customHeight="1" x14ac:dyDescent="0.3">
      <c r="B19" s="56">
        <v>13</v>
      </c>
      <c r="C19" s="97">
        <v>4</v>
      </c>
      <c r="D19" s="58">
        <v>26</v>
      </c>
      <c r="E19" s="57">
        <v>16</v>
      </c>
      <c r="F19" s="53"/>
      <c r="G19" s="45"/>
      <c r="H19" s="363"/>
      <c r="I19" s="367"/>
      <c r="J19" s="368"/>
      <c r="K19" s="100">
        <v>1</v>
      </c>
      <c r="L19" s="100">
        <v>2</v>
      </c>
      <c r="M19" s="100">
        <v>3</v>
      </c>
      <c r="N19" s="100">
        <v>4</v>
      </c>
      <c r="O19" s="100">
        <v>5</v>
      </c>
      <c r="P19" s="100">
        <v>6</v>
      </c>
      <c r="Q19" s="100">
        <v>7</v>
      </c>
      <c r="R19" s="100">
        <v>8</v>
      </c>
      <c r="S19" s="100">
        <v>9</v>
      </c>
      <c r="T19" s="100">
        <v>10</v>
      </c>
      <c r="U19" s="100">
        <v>11</v>
      </c>
      <c r="V19" s="100">
        <v>12</v>
      </c>
      <c r="W19" s="100">
        <v>13</v>
      </c>
      <c r="X19" s="100">
        <v>14</v>
      </c>
      <c r="Y19" s="100">
        <v>15</v>
      </c>
      <c r="Z19" s="100">
        <v>16</v>
      </c>
      <c r="AA19" s="100">
        <v>17</v>
      </c>
      <c r="AB19" s="100">
        <v>18</v>
      </c>
      <c r="AC19" s="100">
        <v>19</v>
      </c>
      <c r="AD19" s="100">
        <v>20</v>
      </c>
      <c r="AE19" s="100">
        <v>21</v>
      </c>
      <c r="AF19" s="100">
        <v>22</v>
      </c>
      <c r="AG19" s="100">
        <v>23</v>
      </c>
      <c r="AH19" s="100">
        <v>24</v>
      </c>
      <c r="AI19" s="100">
        <v>25</v>
      </c>
      <c r="AJ19" s="100">
        <v>26</v>
      </c>
      <c r="AK19" s="100">
        <v>27</v>
      </c>
      <c r="AL19" s="100">
        <v>28</v>
      </c>
      <c r="AM19" s="100">
        <v>29</v>
      </c>
      <c r="AN19" s="100">
        <v>30</v>
      </c>
      <c r="AO19" s="100">
        <v>31</v>
      </c>
      <c r="AP19" s="55"/>
    </row>
    <row r="20" spans="2:42" s="40" customFormat="1" ht="23.25" customHeight="1" x14ac:dyDescent="0.3">
      <c r="B20" s="56">
        <v>14</v>
      </c>
      <c r="C20" s="97">
        <v>4</v>
      </c>
      <c r="D20" s="58">
        <v>19</v>
      </c>
      <c r="E20" s="57">
        <v>12</v>
      </c>
      <c r="F20" s="53"/>
      <c r="G20" s="45"/>
      <c r="H20" s="363"/>
      <c r="I20" s="369" t="s">
        <v>7</v>
      </c>
      <c r="J20" s="370"/>
      <c r="K20" s="63">
        <v>24</v>
      </c>
      <c r="L20" s="63">
        <v>30</v>
      </c>
      <c r="M20" s="63">
        <v>30</v>
      </c>
      <c r="N20" s="63">
        <v>30</v>
      </c>
      <c r="O20" s="63">
        <v>31</v>
      </c>
      <c r="P20" s="63">
        <v>25</v>
      </c>
      <c r="Q20" s="63">
        <v>23</v>
      </c>
      <c r="R20" s="63">
        <v>26</v>
      </c>
      <c r="S20" s="63">
        <v>30</v>
      </c>
      <c r="T20" s="63">
        <v>30</v>
      </c>
      <c r="U20" s="63">
        <v>30</v>
      </c>
      <c r="V20" s="63">
        <v>30</v>
      </c>
      <c r="W20" s="63">
        <v>30</v>
      </c>
      <c r="X20" s="63">
        <v>23</v>
      </c>
      <c r="Y20" s="63">
        <v>26</v>
      </c>
      <c r="Z20" s="63">
        <v>30</v>
      </c>
      <c r="AA20" s="63">
        <v>30</v>
      </c>
      <c r="AB20" s="63">
        <v>30</v>
      </c>
      <c r="AC20" s="63">
        <v>30</v>
      </c>
      <c r="AD20" s="63">
        <v>30</v>
      </c>
      <c r="AE20" s="63">
        <v>22</v>
      </c>
      <c r="AF20" s="63">
        <v>26</v>
      </c>
      <c r="AG20" s="63">
        <v>30</v>
      </c>
      <c r="AH20" s="63">
        <v>30</v>
      </c>
      <c r="AI20" s="63">
        <v>29</v>
      </c>
      <c r="AJ20" s="63">
        <v>30</v>
      </c>
      <c r="AK20" s="63">
        <v>30</v>
      </c>
      <c r="AL20" s="63">
        <v>24</v>
      </c>
      <c r="AM20" s="63">
        <v>26</v>
      </c>
      <c r="AN20" s="63">
        <v>30</v>
      </c>
      <c r="AO20" s="63">
        <v>30</v>
      </c>
      <c r="AP20" s="55"/>
    </row>
    <row r="21" spans="2:42" s="40" customFormat="1" ht="23.25" customHeight="1" x14ac:dyDescent="0.3">
      <c r="B21" s="56">
        <v>15</v>
      </c>
      <c r="C21" s="97">
        <v>4</v>
      </c>
      <c r="D21" s="58">
        <v>22</v>
      </c>
      <c r="E21" s="57">
        <v>12</v>
      </c>
      <c r="F21" s="53"/>
      <c r="G21" s="45"/>
      <c r="H21" s="363"/>
      <c r="I21" s="369" t="s">
        <v>11</v>
      </c>
      <c r="J21" s="370"/>
      <c r="K21" s="63">
        <v>12</v>
      </c>
      <c r="L21" s="63">
        <v>16</v>
      </c>
      <c r="M21" s="63">
        <v>16</v>
      </c>
      <c r="N21" s="63">
        <v>16</v>
      </c>
      <c r="O21" s="63">
        <v>16</v>
      </c>
      <c r="P21" s="63">
        <v>12</v>
      </c>
      <c r="Q21" s="63">
        <v>12</v>
      </c>
      <c r="R21" s="63">
        <v>12</v>
      </c>
      <c r="S21" s="63">
        <v>16</v>
      </c>
      <c r="T21" s="63">
        <v>16</v>
      </c>
      <c r="U21" s="63">
        <v>16</v>
      </c>
      <c r="V21" s="63">
        <v>16</v>
      </c>
      <c r="W21" s="63">
        <v>16</v>
      </c>
      <c r="X21" s="63">
        <v>12</v>
      </c>
      <c r="Y21" s="63">
        <v>12</v>
      </c>
      <c r="Z21" s="63">
        <v>16</v>
      </c>
      <c r="AA21" s="63">
        <v>16</v>
      </c>
      <c r="AB21" s="63">
        <v>16</v>
      </c>
      <c r="AC21" s="63">
        <v>16</v>
      </c>
      <c r="AD21" s="63">
        <v>16</v>
      </c>
      <c r="AE21" s="63">
        <v>12</v>
      </c>
      <c r="AF21" s="63">
        <v>12</v>
      </c>
      <c r="AG21" s="63">
        <v>16</v>
      </c>
      <c r="AH21" s="63">
        <v>16</v>
      </c>
      <c r="AI21" s="63">
        <v>16</v>
      </c>
      <c r="AJ21" s="63">
        <v>16</v>
      </c>
      <c r="AK21" s="63">
        <v>16</v>
      </c>
      <c r="AL21" s="63">
        <v>12</v>
      </c>
      <c r="AM21" s="63">
        <v>12</v>
      </c>
      <c r="AN21" s="63">
        <v>16</v>
      </c>
      <c r="AO21" s="63">
        <v>16</v>
      </c>
      <c r="AP21" s="55"/>
    </row>
    <row r="22" spans="2:42" s="40" customFormat="1" ht="23.25" customHeight="1" x14ac:dyDescent="0.3">
      <c r="B22" s="56">
        <v>16</v>
      </c>
      <c r="C22" s="97">
        <v>4</v>
      </c>
      <c r="D22" s="58">
        <v>26</v>
      </c>
      <c r="E22" s="57">
        <v>16</v>
      </c>
      <c r="F22" s="53"/>
      <c r="G22" s="45"/>
      <c r="H22" s="364"/>
      <c r="I22" s="371" t="s">
        <v>3</v>
      </c>
      <c r="J22" s="372"/>
      <c r="K22" s="64">
        <f>K20+K21</f>
        <v>36</v>
      </c>
      <c r="L22" s="64">
        <f t="shared" ref="L22:AO22" si="1">L20+L21</f>
        <v>46</v>
      </c>
      <c r="M22" s="64">
        <f t="shared" si="1"/>
        <v>46</v>
      </c>
      <c r="N22" s="64">
        <f t="shared" si="1"/>
        <v>46</v>
      </c>
      <c r="O22" s="64">
        <f t="shared" si="1"/>
        <v>47</v>
      </c>
      <c r="P22" s="64">
        <f t="shared" si="1"/>
        <v>37</v>
      </c>
      <c r="Q22" s="64">
        <f t="shared" si="1"/>
        <v>35</v>
      </c>
      <c r="R22" s="64">
        <f t="shared" si="1"/>
        <v>38</v>
      </c>
      <c r="S22" s="64">
        <f t="shared" si="1"/>
        <v>46</v>
      </c>
      <c r="T22" s="64">
        <f t="shared" si="1"/>
        <v>46</v>
      </c>
      <c r="U22" s="64">
        <f t="shared" si="1"/>
        <v>46</v>
      </c>
      <c r="V22" s="64">
        <f t="shared" si="1"/>
        <v>46</v>
      </c>
      <c r="W22" s="64">
        <f t="shared" si="1"/>
        <v>46</v>
      </c>
      <c r="X22" s="64">
        <f t="shared" si="1"/>
        <v>35</v>
      </c>
      <c r="Y22" s="64">
        <f t="shared" si="1"/>
        <v>38</v>
      </c>
      <c r="Z22" s="64">
        <f t="shared" si="1"/>
        <v>46</v>
      </c>
      <c r="AA22" s="64">
        <f t="shared" si="1"/>
        <v>46</v>
      </c>
      <c r="AB22" s="64">
        <f t="shared" si="1"/>
        <v>46</v>
      </c>
      <c r="AC22" s="64">
        <f t="shared" si="1"/>
        <v>46</v>
      </c>
      <c r="AD22" s="64">
        <f t="shared" si="1"/>
        <v>46</v>
      </c>
      <c r="AE22" s="64">
        <f t="shared" si="1"/>
        <v>34</v>
      </c>
      <c r="AF22" s="64">
        <f t="shared" si="1"/>
        <v>38</v>
      </c>
      <c r="AG22" s="64">
        <f t="shared" si="1"/>
        <v>46</v>
      </c>
      <c r="AH22" s="64">
        <f t="shared" si="1"/>
        <v>46</v>
      </c>
      <c r="AI22" s="64">
        <f t="shared" si="1"/>
        <v>45</v>
      </c>
      <c r="AJ22" s="64">
        <f t="shared" si="1"/>
        <v>46</v>
      </c>
      <c r="AK22" s="64">
        <f t="shared" si="1"/>
        <v>46</v>
      </c>
      <c r="AL22" s="64">
        <f t="shared" si="1"/>
        <v>36</v>
      </c>
      <c r="AM22" s="64">
        <f t="shared" si="1"/>
        <v>38</v>
      </c>
      <c r="AN22" s="64">
        <f t="shared" si="1"/>
        <v>46</v>
      </c>
      <c r="AO22" s="64">
        <f t="shared" si="1"/>
        <v>46</v>
      </c>
      <c r="AP22" s="55"/>
    </row>
    <row r="23" spans="2:42" s="40" customFormat="1" ht="23.25" customHeight="1" x14ac:dyDescent="0.3">
      <c r="B23" s="56">
        <v>17</v>
      </c>
      <c r="C23" s="97">
        <v>4</v>
      </c>
      <c r="D23" s="58">
        <v>26</v>
      </c>
      <c r="E23" s="57">
        <v>16</v>
      </c>
      <c r="F23" s="53"/>
      <c r="G23" s="45"/>
      <c r="H23" s="46"/>
      <c r="I23" s="46"/>
      <c r="J23" s="46"/>
      <c r="K23" s="46"/>
      <c r="L23" s="46"/>
      <c r="M23" s="46"/>
      <c r="N23" s="46"/>
      <c r="O23" s="46"/>
      <c r="P23" s="46"/>
      <c r="Q23" s="46"/>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55"/>
    </row>
    <row r="24" spans="2:42" s="40" customFormat="1" ht="23.25" customHeight="1" x14ac:dyDescent="0.3">
      <c r="B24" s="56">
        <v>18</v>
      </c>
      <c r="C24" s="97">
        <v>4</v>
      </c>
      <c r="D24" s="58">
        <v>26</v>
      </c>
      <c r="E24" s="57">
        <v>16</v>
      </c>
      <c r="F24" s="53"/>
      <c r="G24" s="45"/>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55"/>
    </row>
    <row r="25" spans="2:42" s="40" customFormat="1" ht="23.25" customHeight="1" x14ac:dyDescent="0.3">
      <c r="B25" s="56">
        <v>19</v>
      </c>
      <c r="C25" s="97">
        <v>4</v>
      </c>
      <c r="D25" s="58">
        <v>26</v>
      </c>
      <c r="E25" s="57">
        <v>16</v>
      </c>
      <c r="F25" s="53"/>
      <c r="G25" s="45"/>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55"/>
    </row>
    <row r="26" spans="2:42" s="40" customFormat="1" ht="23.25" customHeight="1" x14ac:dyDescent="0.3">
      <c r="B26" s="56">
        <v>20</v>
      </c>
      <c r="C26" s="97">
        <v>4</v>
      </c>
      <c r="D26" s="58">
        <v>26</v>
      </c>
      <c r="E26" s="57">
        <v>16</v>
      </c>
      <c r="F26" s="53"/>
      <c r="G26" s="45"/>
      <c r="H26" s="46"/>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55"/>
    </row>
    <row r="27" spans="2:42" s="40" customFormat="1" ht="23.25" customHeight="1" x14ac:dyDescent="0.3">
      <c r="B27" s="56">
        <v>21</v>
      </c>
      <c r="C27" s="97">
        <v>3</v>
      </c>
      <c r="D27" s="58">
        <v>19</v>
      </c>
      <c r="E27" s="57">
        <v>12</v>
      </c>
      <c r="F27" s="53"/>
      <c r="G27" s="45"/>
      <c r="H27" s="46"/>
      <c r="I27" s="46"/>
      <c r="J27" s="46"/>
      <c r="K27" s="46"/>
      <c r="L27" s="46"/>
      <c r="M27" s="46"/>
      <c r="N27" s="46"/>
      <c r="O27" s="46"/>
      <c r="P27" s="46"/>
      <c r="Q27" s="46"/>
      <c r="R27" s="46"/>
      <c r="S27" s="46"/>
      <c r="T27" s="46"/>
      <c r="U27" s="46"/>
      <c r="V27" s="46"/>
      <c r="W27" s="46"/>
      <c r="X27" s="46"/>
      <c r="Y27" s="46"/>
      <c r="Z27" s="46"/>
      <c r="AA27" s="46"/>
      <c r="AB27" s="46"/>
      <c r="AC27" s="46"/>
      <c r="AD27" s="46"/>
      <c r="AE27" s="46"/>
      <c r="AF27" s="46"/>
      <c r="AG27" s="46"/>
      <c r="AH27" s="46"/>
      <c r="AI27" s="46"/>
      <c r="AJ27" s="46"/>
      <c r="AK27" s="46"/>
      <c r="AL27" s="46"/>
      <c r="AM27" s="46"/>
      <c r="AN27" s="46"/>
      <c r="AO27" s="46"/>
      <c r="AP27" s="55"/>
    </row>
    <row r="28" spans="2:42" s="40" customFormat="1" ht="23.25" customHeight="1" x14ac:dyDescent="0.3">
      <c r="B28" s="56">
        <v>22</v>
      </c>
      <c r="C28" s="97">
        <v>4</v>
      </c>
      <c r="D28" s="58">
        <v>22</v>
      </c>
      <c r="E28" s="57">
        <v>12</v>
      </c>
      <c r="F28" s="53"/>
      <c r="G28" s="45"/>
      <c r="H28" s="46"/>
      <c r="I28" s="46"/>
      <c r="J28" s="46"/>
      <c r="K28" s="46"/>
      <c r="L28" s="46"/>
      <c r="M28" s="46"/>
      <c r="N28" s="46"/>
      <c r="O28" s="46"/>
      <c r="P28" s="46"/>
      <c r="Q28" s="46"/>
      <c r="R28" s="46"/>
      <c r="S28" s="46"/>
      <c r="T28" s="46"/>
      <c r="U28" s="46"/>
      <c r="V28" s="46"/>
      <c r="W28" s="46"/>
      <c r="X28" s="46"/>
      <c r="Y28" s="46"/>
      <c r="Z28" s="46"/>
      <c r="AA28" s="46"/>
      <c r="AB28" s="46"/>
      <c r="AC28" s="46"/>
      <c r="AD28" s="46"/>
      <c r="AE28" s="46"/>
      <c r="AF28" s="46"/>
      <c r="AG28" s="46"/>
      <c r="AH28" s="46"/>
      <c r="AI28" s="46"/>
      <c r="AJ28" s="46"/>
      <c r="AK28" s="46"/>
      <c r="AL28" s="46"/>
      <c r="AM28" s="46"/>
      <c r="AN28" s="46"/>
      <c r="AO28" s="46"/>
      <c r="AP28" s="55"/>
    </row>
    <row r="29" spans="2:42" s="40" customFormat="1" ht="23.25" customHeight="1" x14ac:dyDescent="0.3">
      <c r="B29" s="56">
        <v>23</v>
      </c>
      <c r="C29" s="97">
        <v>4</v>
      </c>
      <c r="D29" s="58">
        <v>26</v>
      </c>
      <c r="E29" s="57">
        <v>16</v>
      </c>
      <c r="F29" s="53"/>
      <c r="G29" s="45"/>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55"/>
    </row>
    <row r="30" spans="2:42" s="40" customFormat="1" ht="23.25" customHeight="1" x14ac:dyDescent="0.3">
      <c r="B30" s="56">
        <v>24</v>
      </c>
      <c r="C30" s="97">
        <v>4</v>
      </c>
      <c r="D30" s="58">
        <v>26</v>
      </c>
      <c r="E30" s="57">
        <v>16</v>
      </c>
      <c r="F30" s="53"/>
      <c r="G30" s="45"/>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55"/>
    </row>
    <row r="31" spans="2:42" s="40" customFormat="1" ht="23.25" customHeight="1" x14ac:dyDescent="0.3">
      <c r="B31" s="56">
        <v>25</v>
      </c>
      <c r="C31" s="97">
        <v>4</v>
      </c>
      <c r="D31" s="58">
        <v>25</v>
      </c>
      <c r="E31" s="57">
        <v>16</v>
      </c>
      <c r="F31" s="53"/>
      <c r="G31" s="45"/>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55"/>
    </row>
    <row r="32" spans="2:42" s="40" customFormat="1" ht="23.25" customHeight="1" x14ac:dyDescent="0.3">
      <c r="B32" s="56">
        <v>26</v>
      </c>
      <c r="C32" s="97">
        <v>4</v>
      </c>
      <c r="D32" s="58">
        <v>26</v>
      </c>
      <c r="E32" s="57">
        <v>16</v>
      </c>
      <c r="F32" s="53"/>
      <c r="G32" s="45"/>
      <c r="H32" s="46"/>
      <c r="I32" s="46"/>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55"/>
    </row>
    <row r="33" spans="2:78" s="40" customFormat="1" ht="23.25" customHeight="1" x14ac:dyDescent="0.3">
      <c r="B33" s="56">
        <v>27</v>
      </c>
      <c r="C33" s="97">
        <v>4</v>
      </c>
      <c r="D33" s="58">
        <v>26</v>
      </c>
      <c r="E33" s="57">
        <v>16</v>
      </c>
      <c r="F33" s="53"/>
      <c r="G33" s="45"/>
      <c r="H33" s="46"/>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55"/>
    </row>
    <row r="34" spans="2:78" s="40" customFormat="1" ht="23.25" customHeight="1" x14ac:dyDescent="0.3">
      <c r="B34" s="56">
        <v>28</v>
      </c>
      <c r="C34" s="97">
        <v>4</v>
      </c>
      <c r="D34" s="58">
        <v>20</v>
      </c>
      <c r="E34" s="57">
        <v>12</v>
      </c>
      <c r="F34" s="53"/>
      <c r="G34" s="45"/>
      <c r="H34" s="46"/>
      <c r="I34" s="46"/>
      <c r="J34" s="46"/>
      <c r="K34" s="46"/>
      <c r="L34" s="46"/>
      <c r="M34" s="46"/>
      <c r="N34" s="46"/>
      <c r="O34" s="46"/>
      <c r="P34" s="46"/>
      <c r="Q34" s="46"/>
      <c r="R34" s="46"/>
      <c r="S34" s="46"/>
      <c r="T34" s="46"/>
      <c r="U34" s="46"/>
      <c r="V34" s="46"/>
      <c r="W34" s="46"/>
      <c r="X34" s="46"/>
      <c r="Y34" s="46"/>
      <c r="Z34" s="46"/>
      <c r="AA34" s="46"/>
      <c r="AB34" s="46"/>
      <c r="AC34" s="46"/>
      <c r="AD34" s="46"/>
      <c r="AE34" s="46"/>
      <c r="AF34" s="46"/>
      <c r="AG34" s="46"/>
      <c r="AH34" s="46"/>
      <c r="AI34" s="46"/>
      <c r="AJ34" s="46"/>
      <c r="AK34" s="46"/>
      <c r="AL34" s="46"/>
      <c r="AM34" s="46"/>
      <c r="AN34" s="46"/>
      <c r="AO34" s="46"/>
      <c r="AP34" s="55"/>
    </row>
    <row r="35" spans="2:78" s="40" customFormat="1" ht="23.25" customHeight="1" x14ac:dyDescent="0.3">
      <c r="B35" s="56">
        <v>29</v>
      </c>
      <c r="C35" s="97">
        <v>4</v>
      </c>
      <c r="D35" s="58">
        <v>22</v>
      </c>
      <c r="E35" s="57">
        <v>12</v>
      </c>
      <c r="F35" s="53"/>
      <c r="G35" s="45"/>
      <c r="H35" s="46"/>
      <c r="I35" s="46"/>
      <c r="J35" s="46"/>
      <c r="K35" s="46"/>
      <c r="L35" s="46"/>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55"/>
    </row>
    <row r="36" spans="2:78" s="40" customFormat="1" ht="23.25" customHeight="1" x14ac:dyDescent="0.3">
      <c r="B36" s="56">
        <v>30</v>
      </c>
      <c r="C36" s="97">
        <v>4</v>
      </c>
      <c r="D36" s="58">
        <v>26</v>
      </c>
      <c r="E36" s="57">
        <v>16</v>
      </c>
      <c r="F36" s="53"/>
      <c r="G36" s="45"/>
      <c r="H36" s="46"/>
      <c r="I36" s="46"/>
      <c r="J36" s="46"/>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55"/>
    </row>
    <row r="37" spans="2:78" s="40" customFormat="1" ht="23.25" customHeight="1" thickBot="1" x14ac:dyDescent="0.35">
      <c r="B37" s="89">
        <v>31</v>
      </c>
      <c r="C37" s="98">
        <v>4</v>
      </c>
      <c r="D37" s="90">
        <v>26</v>
      </c>
      <c r="E37" s="91">
        <v>16</v>
      </c>
      <c r="F37" s="53"/>
      <c r="G37" s="45"/>
      <c r="H37" s="46"/>
      <c r="I37" s="73"/>
      <c r="J37" s="73"/>
      <c r="K37" s="73"/>
      <c r="L37" s="73"/>
      <c r="M37" s="73"/>
      <c r="N37" s="73"/>
      <c r="O37" s="73"/>
      <c r="P37" s="73"/>
      <c r="Q37" s="73"/>
      <c r="R37" s="73"/>
      <c r="S37" s="73"/>
      <c r="T37" s="73"/>
      <c r="U37" s="73"/>
      <c r="V37" s="73"/>
      <c r="W37" s="73"/>
      <c r="X37" s="73"/>
      <c r="Y37" s="73"/>
      <c r="Z37" s="73"/>
      <c r="AA37" s="73"/>
      <c r="AB37" s="73"/>
      <c r="AC37" s="73"/>
      <c r="AD37" s="73"/>
      <c r="AE37" s="73"/>
      <c r="AF37" s="73"/>
      <c r="AG37" s="73"/>
      <c r="AH37" s="73"/>
      <c r="AI37" s="73"/>
      <c r="AJ37" s="73"/>
      <c r="AK37" s="73"/>
      <c r="AL37" s="73"/>
      <c r="AM37" s="73"/>
      <c r="AN37" s="73"/>
      <c r="AO37" s="73"/>
      <c r="AP37" s="55"/>
    </row>
    <row r="38" spans="2:78" s="40" customFormat="1" ht="23.25" customHeight="1" thickBot="1" x14ac:dyDescent="0.3">
      <c r="B38" s="92" t="s">
        <v>3</v>
      </c>
      <c r="C38" s="93">
        <f>SUM(C7:C37)</f>
        <v>123</v>
      </c>
      <c r="D38" s="93">
        <f>SUM(D7:D37)</f>
        <v>752</v>
      </c>
      <c r="E38" s="94">
        <f>SUM(E7:E37)</f>
        <v>456</v>
      </c>
      <c r="F38" s="53"/>
      <c r="G38" s="45"/>
      <c r="H38" s="46"/>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55"/>
    </row>
    <row r="39" spans="2:78" s="40" customFormat="1" ht="23.25" customHeight="1" x14ac:dyDescent="0.25">
      <c r="B39" s="37"/>
      <c r="C39" s="38"/>
      <c r="D39" s="38"/>
      <c r="E39" s="38"/>
      <c r="F39" s="53"/>
      <c r="G39" s="45"/>
      <c r="H39" s="46"/>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55"/>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row>
    <row r="40" spans="2:78" s="40" customFormat="1" ht="23.25" customHeight="1" thickBot="1" x14ac:dyDescent="0.3">
      <c r="B40" s="37"/>
      <c r="C40" s="38"/>
      <c r="D40" s="38"/>
      <c r="E40" s="38"/>
      <c r="G40" s="71"/>
      <c r="H40" s="73"/>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72"/>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38"/>
      <c r="BX40" s="38"/>
      <c r="BY40" s="38"/>
      <c r="BZ40" s="38"/>
    </row>
    <row r="41" spans="2:78" ht="17.399999999999999" x14ac:dyDescent="0.25">
      <c r="G41" s="40"/>
      <c r="H41" s="40"/>
    </row>
    <row r="42" spans="2:78" ht="17.399999999999999" x14ac:dyDescent="0.25">
      <c r="G42" s="40"/>
      <c r="H42" s="40"/>
    </row>
  </sheetData>
  <mergeCells count="20">
    <mergeCell ref="I12:J12"/>
    <mergeCell ref="H5:AO6"/>
    <mergeCell ref="G2:AP2"/>
    <mergeCell ref="B4:B6"/>
    <mergeCell ref="K7:AO7"/>
    <mergeCell ref="I8:J8"/>
    <mergeCell ref="I9:J9"/>
    <mergeCell ref="I10:J10"/>
    <mergeCell ref="I11:J11"/>
    <mergeCell ref="B3:E3"/>
    <mergeCell ref="B2:E2"/>
    <mergeCell ref="C4:E4"/>
    <mergeCell ref="C5:E5"/>
    <mergeCell ref="H7:H12"/>
    <mergeCell ref="H18:H22"/>
    <mergeCell ref="K18:AO18"/>
    <mergeCell ref="I19:J19"/>
    <mergeCell ref="I20:J20"/>
    <mergeCell ref="I21:J21"/>
    <mergeCell ref="I22:J22"/>
  </mergeCells>
  <pageMargins left="0.75" right="0.75" top="1" bottom="1" header="0" footer="0"/>
  <pageSetup paperSize="9" scale="26" orientation="landscape" horizontalDpi="300" verticalDpi="300"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3143E-9C75-42CB-86C6-392594882439}">
  <sheetPr codeName="Hoja4">
    <pageSetUpPr fitToPage="1"/>
  </sheetPr>
  <dimension ref="B1:AP42"/>
  <sheetViews>
    <sheetView zoomScale="70" zoomScaleNormal="70" workbookViewId="0"/>
  </sheetViews>
  <sheetFormatPr baseColWidth="10" defaultColWidth="11.44140625" defaultRowHeight="13.2" x14ac:dyDescent="0.25"/>
  <cols>
    <col min="1" max="1" width="2.21875" style="38" customWidth="1"/>
    <col min="2" max="2" width="11.77734375" style="37" customWidth="1"/>
    <col min="3" max="5" width="12.77734375" style="38" customWidth="1"/>
    <col min="6" max="6" width="5.77734375" style="38" customWidth="1"/>
    <col min="7" max="7" width="6.21875" style="38" customWidth="1"/>
    <col min="8" max="8" width="4" style="38" customWidth="1"/>
    <col min="9" max="9" width="6.21875" style="38" customWidth="1"/>
    <col min="10" max="10" width="5" style="38" customWidth="1"/>
    <col min="11" max="11" width="5.77734375" style="38" customWidth="1"/>
    <col min="12" max="12" width="5" style="38" customWidth="1"/>
    <col min="13" max="31" width="3.77734375" style="38" customWidth="1"/>
    <col min="32" max="32" width="4.77734375" style="38" bestFit="1" customWidth="1"/>
    <col min="33" max="33" width="3.77734375" style="38" customWidth="1"/>
    <col min="34" max="42" width="4.77734375" style="38" bestFit="1" customWidth="1"/>
    <col min="43" max="43" width="3.77734375" style="38" customWidth="1"/>
    <col min="44" max="44" width="7.77734375" style="38" customWidth="1"/>
    <col min="45" max="16384" width="11.44140625" style="38"/>
  </cols>
  <sheetData>
    <row r="1" spans="2:42" ht="11.25" customHeight="1" thickBot="1" x14ac:dyDescent="0.3"/>
    <row r="2" spans="2:42" ht="50.25" customHeight="1" thickBot="1" x14ac:dyDescent="0.3">
      <c r="B2" s="380" t="s">
        <v>88</v>
      </c>
      <c r="C2" s="380"/>
      <c r="D2" s="380"/>
      <c r="E2" s="380"/>
      <c r="G2" s="374" t="s">
        <v>6</v>
      </c>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6"/>
    </row>
    <row r="3" spans="2:42" ht="24" customHeight="1" x14ac:dyDescent="0.25">
      <c r="B3" s="379">
        <v>44958</v>
      </c>
      <c r="C3" s="379"/>
      <c r="D3" s="379"/>
      <c r="E3" s="379"/>
      <c r="F3" s="40"/>
      <c r="G3" s="41"/>
      <c r="H3" s="42"/>
      <c r="I3" s="42"/>
      <c r="J3" s="4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43"/>
    </row>
    <row r="4" spans="2:42" ht="33.75" customHeight="1" thickBot="1" x14ac:dyDescent="0.3">
      <c r="B4" s="377" t="s">
        <v>10</v>
      </c>
      <c r="C4" s="381" t="s">
        <v>7</v>
      </c>
      <c r="D4" s="381"/>
      <c r="E4" s="381"/>
      <c r="F4" s="40"/>
      <c r="G4" s="45"/>
      <c r="H4" s="46"/>
      <c r="I4" s="46"/>
      <c r="J4" s="46"/>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8"/>
    </row>
    <row r="5" spans="2:42" ht="23.25" customHeight="1" x14ac:dyDescent="0.25">
      <c r="B5" s="377"/>
      <c r="C5" s="382" t="s">
        <v>9</v>
      </c>
      <c r="D5" s="382"/>
      <c r="E5" s="382"/>
      <c r="G5" s="49"/>
      <c r="H5" s="312" t="s">
        <v>8</v>
      </c>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4"/>
      <c r="AP5" s="48"/>
    </row>
    <row r="6" spans="2:42" ht="23.25" customHeight="1" thickBot="1" x14ac:dyDescent="0.3">
      <c r="B6" s="377" t="s">
        <v>89</v>
      </c>
      <c r="C6" s="50" t="s">
        <v>90</v>
      </c>
      <c r="D6" s="50" t="s">
        <v>91</v>
      </c>
      <c r="E6" s="50" t="s">
        <v>92</v>
      </c>
      <c r="G6" s="49"/>
      <c r="H6" s="373"/>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7"/>
      <c r="AP6" s="48"/>
    </row>
    <row r="7" spans="2:42" s="40" customFormat="1" ht="23.25" customHeight="1" x14ac:dyDescent="0.3">
      <c r="B7" s="95">
        <v>1</v>
      </c>
      <c r="C7" s="96">
        <v>0</v>
      </c>
      <c r="D7" s="51">
        <v>30</v>
      </c>
      <c r="E7" s="57">
        <v>16</v>
      </c>
      <c r="F7" s="53"/>
      <c r="G7" s="45"/>
      <c r="H7" s="383">
        <f>B3</f>
        <v>44958</v>
      </c>
      <c r="I7" s="54"/>
      <c r="J7" s="54"/>
      <c r="K7" s="365" t="s">
        <v>2</v>
      </c>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55"/>
    </row>
    <row r="8" spans="2:42" s="40" customFormat="1" ht="23.25" customHeight="1" x14ac:dyDescent="0.3">
      <c r="B8" s="56">
        <v>2</v>
      </c>
      <c r="C8" s="96">
        <v>0</v>
      </c>
      <c r="D8" s="58">
        <v>30</v>
      </c>
      <c r="E8" s="57">
        <v>16</v>
      </c>
      <c r="F8" s="53"/>
      <c r="G8" s="45"/>
      <c r="H8" s="384"/>
      <c r="I8" s="368"/>
      <c r="J8" s="368"/>
      <c r="K8" s="100">
        <v>1</v>
      </c>
      <c r="L8" s="100">
        <v>2</v>
      </c>
      <c r="M8" s="100">
        <v>3</v>
      </c>
      <c r="N8" s="100">
        <v>4</v>
      </c>
      <c r="O8" s="100">
        <v>5</v>
      </c>
      <c r="P8" s="100">
        <v>6</v>
      </c>
      <c r="Q8" s="100">
        <v>7</v>
      </c>
      <c r="R8" s="100">
        <v>8</v>
      </c>
      <c r="S8" s="100">
        <v>9</v>
      </c>
      <c r="T8" s="100">
        <v>10</v>
      </c>
      <c r="U8" s="100">
        <v>11</v>
      </c>
      <c r="V8" s="100">
        <v>12</v>
      </c>
      <c r="W8" s="100">
        <v>13</v>
      </c>
      <c r="X8" s="100">
        <v>14</v>
      </c>
      <c r="Y8" s="100">
        <v>15</v>
      </c>
      <c r="Z8" s="100">
        <v>16</v>
      </c>
      <c r="AA8" s="100">
        <v>17</v>
      </c>
      <c r="AB8" s="100">
        <v>18</v>
      </c>
      <c r="AC8" s="100">
        <v>19</v>
      </c>
      <c r="AD8" s="100">
        <v>20</v>
      </c>
      <c r="AE8" s="100">
        <v>21</v>
      </c>
      <c r="AF8" s="100">
        <v>22</v>
      </c>
      <c r="AG8" s="100">
        <v>23</v>
      </c>
      <c r="AH8" s="100">
        <v>24</v>
      </c>
      <c r="AI8" s="100">
        <v>25</v>
      </c>
      <c r="AJ8" s="100">
        <v>26</v>
      </c>
      <c r="AK8" s="100">
        <v>27</v>
      </c>
      <c r="AL8" s="100">
        <v>28</v>
      </c>
      <c r="AM8" s="100">
        <v>29</v>
      </c>
      <c r="AN8" s="100">
        <v>30</v>
      </c>
      <c r="AO8" s="100">
        <v>31</v>
      </c>
      <c r="AP8" s="55"/>
    </row>
    <row r="9" spans="2:42" s="40" customFormat="1" ht="23.25" customHeight="1" x14ac:dyDescent="0.3">
      <c r="B9" s="56">
        <v>3</v>
      </c>
      <c r="C9" s="96">
        <v>0</v>
      </c>
      <c r="D9" s="58">
        <v>31</v>
      </c>
      <c r="E9" s="57">
        <v>16</v>
      </c>
      <c r="F9" s="53"/>
      <c r="G9" s="45"/>
      <c r="H9" s="384"/>
      <c r="I9" s="378" t="s">
        <v>7</v>
      </c>
      <c r="J9" s="378"/>
      <c r="K9" s="61">
        <f t="array" ref="K9:AO9">TRANSPOSE(D7:D37)</f>
        <v>30</v>
      </c>
      <c r="L9" s="61">
        <v>30</v>
      </c>
      <c r="M9" s="61">
        <v>31</v>
      </c>
      <c r="N9" s="61">
        <v>24</v>
      </c>
      <c r="O9" s="61">
        <v>26</v>
      </c>
      <c r="P9" s="61">
        <v>30</v>
      </c>
      <c r="Q9" s="61">
        <v>30</v>
      </c>
      <c r="R9" s="61">
        <v>30</v>
      </c>
      <c r="S9" s="61">
        <v>20</v>
      </c>
      <c r="T9" s="61">
        <v>31</v>
      </c>
      <c r="U9" s="61">
        <v>24</v>
      </c>
      <c r="V9" s="61">
        <v>26</v>
      </c>
      <c r="W9" s="61">
        <v>30</v>
      </c>
      <c r="X9" s="61">
        <v>30</v>
      </c>
      <c r="Y9" s="61">
        <v>30</v>
      </c>
      <c r="Z9" s="61">
        <v>30</v>
      </c>
      <c r="AA9" s="61">
        <v>31</v>
      </c>
      <c r="AB9" s="61">
        <v>24</v>
      </c>
      <c r="AC9" s="61">
        <v>26</v>
      </c>
      <c r="AD9" s="61">
        <v>30</v>
      </c>
      <c r="AE9" s="61">
        <v>30</v>
      </c>
      <c r="AF9" s="61">
        <v>30</v>
      </c>
      <c r="AG9" s="61">
        <v>30</v>
      </c>
      <c r="AH9" s="61">
        <v>31</v>
      </c>
      <c r="AI9" s="61">
        <v>24</v>
      </c>
      <c r="AJ9" s="61">
        <v>26</v>
      </c>
      <c r="AK9" s="61">
        <v>30</v>
      </c>
      <c r="AL9" s="61">
        <v>30</v>
      </c>
      <c r="AM9" s="61">
        <v>0</v>
      </c>
      <c r="AN9" s="61">
        <v>0</v>
      </c>
      <c r="AO9" s="61">
        <v>0</v>
      </c>
      <c r="AP9" s="62" t="e">
        <f>SUM(#REF!)</f>
        <v>#REF!</v>
      </c>
    </row>
    <row r="10" spans="2:42" s="40" customFormat="1" ht="23.25" customHeight="1" x14ac:dyDescent="0.3">
      <c r="B10" s="56">
        <v>4</v>
      </c>
      <c r="C10" s="96">
        <v>0</v>
      </c>
      <c r="D10" s="58">
        <v>24</v>
      </c>
      <c r="E10" s="57">
        <v>12</v>
      </c>
      <c r="F10" s="53"/>
      <c r="G10" s="45"/>
      <c r="H10" s="384"/>
      <c r="I10" s="370" t="s">
        <v>11</v>
      </c>
      <c r="J10" s="370"/>
      <c r="K10" s="63">
        <f t="array" ref="K10:AO10">TRANSPOSE(E7:E37)</f>
        <v>16</v>
      </c>
      <c r="L10" s="63">
        <v>16</v>
      </c>
      <c r="M10" s="63">
        <v>16</v>
      </c>
      <c r="N10" s="63">
        <v>12</v>
      </c>
      <c r="O10" s="63">
        <v>12</v>
      </c>
      <c r="P10" s="63">
        <v>16</v>
      </c>
      <c r="Q10" s="63">
        <v>16</v>
      </c>
      <c r="R10" s="63">
        <v>16</v>
      </c>
      <c r="S10" s="63">
        <v>16</v>
      </c>
      <c r="T10" s="63">
        <v>16</v>
      </c>
      <c r="U10" s="63">
        <v>12</v>
      </c>
      <c r="V10" s="63">
        <v>12</v>
      </c>
      <c r="W10" s="63">
        <v>16</v>
      </c>
      <c r="X10" s="63">
        <v>16</v>
      </c>
      <c r="Y10" s="63">
        <v>16</v>
      </c>
      <c r="Z10" s="63">
        <v>16</v>
      </c>
      <c r="AA10" s="63">
        <v>16</v>
      </c>
      <c r="AB10" s="63">
        <v>12</v>
      </c>
      <c r="AC10" s="63">
        <v>12</v>
      </c>
      <c r="AD10" s="63">
        <v>16</v>
      </c>
      <c r="AE10" s="63">
        <v>16</v>
      </c>
      <c r="AF10" s="63">
        <v>16</v>
      </c>
      <c r="AG10" s="63">
        <v>16</v>
      </c>
      <c r="AH10" s="63">
        <v>16</v>
      </c>
      <c r="AI10" s="63">
        <v>12</v>
      </c>
      <c r="AJ10" s="63">
        <v>12</v>
      </c>
      <c r="AK10" s="63">
        <v>16</v>
      </c>
      <c r="AL10" s="63">
        <v>16</v>
      </c>
      <c r="AM10" s="63">
        <v>0</v>
      </c>
      <c r="AN10" s="63">
        <v>0</v>
      </c>
      <c r="AO10" s="63">
        <v>0</v>
      </c>
      <c r="AP10" s="55"/>
    </row>
    <row r="11" spans="2:42" s="40" customFormat="1" ht="23.25" customHeight="1" x14ac:dyDescent="0.3">
      <c r="B11" s="56">
        <v>5</v>
      </c>
      <c r="C11" s="96">
        <v>0</v>
      </c>
      <c r="D11" s="58">
        <v>26</v>
      </c>
      <c r="E11" s="57">
        <v>12</v>
      </c>
      <c r="F11" s="53"/>
      <c r="G11" s="45"/>
      <c r="H11" s="384"/>
      <c r="I11" s="372" t="s">
        <v>3</v>
      </c>
      <c r="J11" s="372"/>
      <c r="K11" s="64">
        <f>K9+K10</f>
        <v>46</v>
      </c>
      <c r="L11" s="64">
        <f t="shared" ref="L11:AO11" si="0">L9+L10</f>
        <v>46</v>
      </c>
      <c r="M11" s="64">
        <f t="shared" si="0"/>
        <v>47</v>
      </c>
      <c r="N11" s="64">
        <f t="shared" si="0"/>
        <v>36</v>
      </c>
      <c r="O11" s="64">
        <f t="shared" si="0"/>
        <v>38</v>
      </c>
      <c r="P11" s="64">
        <f t="shared" si="0"/>
        <v>46</v>
      </c>
      <c r="Q11" s="64">
        <f t="shared" si="0"/>
        <v>46</v>
      </c>
      <c r="R11" s="64">
        <f t="shared" si="0"/>
        <v>46</v>
      </c>
      <c r="S11" s="64">
        <f t="shared" si="0"/>
        <v>36</v>
      </c>
      <c r="T11" s="64">
        <f t="shared" si="0"/>
        <v>47</v>
      </c>
      <c r="U11" s="64">
        <f t="shared" si="0"/>
        <v>36</v>
      </c>
      <c r="V11" s="64">
        <f t="shared" si="0"/>
        <v>38</v>
      </c>
      <c r="W11" s="64">
        <f t="shared" si="0"/>
        <v>46</v>
      </c>
      <c r="X11" s="64">
        <f t="shared" si="0"/>
        <v>46</v>
      </c>
      <c r="Y11" s="64">
        <f t="shared" si="0"/>
        <v>46</v>
      </c>
      <c r="Z11" s="64">
        <f t="shared" si="0"/>
        <v>46</v>
      </c>
      <c r="AA11" s="64">
        <f t="shared" si="0"/>
        <v>47</v>
      </c>
      <c r="AB11" s="64">
        <f t="shared" si="0"/>
        <v>36</v>
      </c>
      <c r="AC11" s="64">
        <f t="shared" si="0"/>
        <v>38</v>
      </c>
      <c r="AD11" s="64">
        <f t="shared" si="0"/>
        <v>46</v>
      </c>
      <c r="AE11" s="64">
        <f t="shared" si="0"/>
        <v>46</v>
      </c>
      <c r="AF11" s="64">
        <f t="shared" si="0"/>
        <v>46</v>
      </c>
      <c r="AG11" s="64">
        <f t="shared" si="0"/>
        <v>46</v>
      </c>
      <c r="AH11" s="64">
        <f t="shared" si="0"/>
        <v>47</v>
      </c>
      <c r="AI11" s="64">
        <f t="shared" si="0"/>
        <v>36</v>
      </c>
      <c r="AJ11" s="64">
        <f t="shared" si="0"/>
        <v>38</v>
      </c>
      <c r="AK11" s="64">
        <f t="shared" si="0"/>
        <v>46</v>
      </c>
      <c r="AL11" s="64">
        <f t="shared" si="0"/>
        <v>46</v>
      </c>
      <c r="AM11" s="64">
        <f t="shared" si="0"/>
        <v>0</v>
      </c>
      <c r="AN11" s="64">
        <f t="shared" si="0"/>
        <v>0</v>
      </c>
      <c r="AO11" s="64">
        <f t="shared" si="0"/>
        <v>0</v>
      </c>
      <c r="AP11" s="55"/>
    </row>
    <row r="12" spans="2:42" s="40" customFormat="1" ht="23.25" customHeight="1" x14ac:dyDescent="0.3">
      <c r="B12" s="56">
        <v>6</v>
      </c>
      <c r="C12" s="96">
        <v>0</v>
      </c>
      <c r="D12" s="58">
        <v>30</v>
      </c>
      <c r="E12" s="57">
        <v>16</v>
      </c>
      <c r="F12" s="53"/>
      <c r="G12" s="45"/>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55"/>
    </row>
    <row r="13" spans="2:42" s="40" customFormat="1" ht="23.25" customHeight="1" x14ac:dyDescent="0.3">
      <c r="B13" s="56">
        <v>7</v>
      </c>
      <c r="C13" s="96">
        <v>0</v>
      </c>
      <c r="D13" s="58">
        <v>30</v>
      </c>
      <c r="E13" s="57">
        <v>16</v>
      </c>
      <c r="F13" s="53"/>
      <c r="G13" s="45"/>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55"/>
    </row>
    <row r="14" spans="2:42" s="40" customFormat="1" ht="23.25" customHeight="1" x14ac:dyDescent="0.3">
      <c r="B14" s="56">
        <v>8</v>
      </c>
      <c r="C14" s="96">
        <v>0</v>
      </c>
      <c r="D14" s="58">
        <v>30</v>
      </c>
      <c r="E14" s="57">
        <v>16</v>
      </c>
      <c r="F14" s="53"/>
      <c r="G14" s="45"/>
      <c r="H14" s="46"/>
      <c r="I14" s="46"/>
      <c r="J14" s="46"/>
      <c r="K14" s="46"/>
      <c r="L14" s="46"/>
      <c r="M14" s="46"/>
      <c r="N14" s="46"/>
      <c r="O14" s="46"/>
      <c r="P14" s="46"/>
      <c r="Q14" s="46"/>
      <c r="R14" s="46"/>
      <c r="S14" s="46"/>
      <c r="T14" s="46"/>
      <c r="U14" s="46"/>
      <c r="V14" s="46"/>
      <c r="W14" s="46"/>
      <c r="X14" s="46"/>
      <c r="Y14" s="46"/>
      <c r="Z14" s="46"/>
      <c r="AA14" s="46"/>
      <c r="AB14" s="46"/>
      <c r="AC14" s="46"/>
      <c r="AD14" s="46"/>
      <c r="AE14" s="46"/>
      <c r="AF14" s="46"/>
      <c r="AG14" s="46"/>
      <c r="AH14" s="46"/>
      <c r="AI14" s="46"/>
      <c r="AJ14" s="46"/>
      <c r="AK14" s="46"/>
      <c r="AL14" s="46"/>
      <c r="AM14" s="46"/>
      <c r="AN14" s="46"/>
      <c r="AO14" s="46"/>
      <c r="AP14" s="55"/>
    </row>
    <row r="15" spans="2:42" s="40" customFormat="1" ht="23.25" customHeight="1" x14ac:dyDescent="0.3">
      <c r="B15" s="56">
        <v>9</v>
      </c>
      <c r="C15" s="96">
        <v>0</v>
      </c>
      <c r="D15" s="58">
        <v>20</v>
      </c>
      <c r="E15" s="57">
        <v>16</v>
      </c>
      <c r="F15" s="53"/>
      <c r="G15" s="45"/>
      <c r="H15" s="46"/>
      <c r="I15" s="46"/>
      <c r="J15" s="46"/>
      <c r="K15" s="46"/>
      <c r="L15" s="46"/>
      <c r="M15" s="46"/>
      <c r="N15" s="46"/>
      <c r="O15" s="46"/>
      <c r="P15" s="46"/>
      <c r="Q15" s="46"/>
      <c r="R15" s="46"/>
      <c r="S15" s="46"/>
      <c r="T15" s="46"/>
      <c r="U15" s="46"/>
      <c r="V15" s="46"/>
      <c r="W15" s="46"/>
      <c r="X15" s="46"/>
      <c r="Y15" s="46"/>
      <c r="Z15" s="46"/>
      <c r="AA15" s="46"/>
      <c r="AB15" s="46"/>
      <c r="AC15" s="46"/>
      <c r="AD15" s="46"/>
      <c r="AE15" s="46"/>
      <c r="AF15" s="46"/>
      <c r="AG15" s="46"/>
      <c r="AH15" s="46"/>
      <c r="AI15" s="46"/>
      <c r="AJ15" s="46"/>
      <c r="AK15" s="46"/>
      <c r="AL15" s="46"/>
      <c r="AM15" s="46"/>
      <c r="AN15" s="46"/>
      <c r="AO15" s="46"/>
      <c r="AP15" s="55"/>
    </row>
    <row r="16" spans="2:42" s="40" customFormat="1" ht="23.25" customHeight="1" x14ac:dyDescent="0.3">
      <c r="B16" s="56">
        <v>10</v>
      </c>
      <c r="C16" s="96">
        <v>0</v>
      </c>
      <c r="D16" s="58">
        <v>31</v>
      </c>
      <c r="E16" s="57">
        <v>16</v>
      </c>
      <c r="F16" s="53"/>
      <c r="G16" s="45"/>
      <c r="H16" s="46"/>
      <c r="I16" s="46"/>
      <c r="J16" s="46"/>
      <c r="K16" s="46"/>
      <c r="L16" s="46"/>
      <c r="M16" s="46"/>
      <c r="N16" s="46"/>
      <c r="O16" s="46"/>
      <c r="P16" s="46"/>
      <c r="Q16" s="46"/>
      <c r="R16" s="46"/>
      <c r="S16" s="46"/>
      <c r="T16" s="46"/>
      <c r="U16" s="46"/>
      <c r="V16" s="46"/>
      <c r="W16" s="46"/>
      <c r="X16" s="46"/>
      <c r="Y16" s="46"/>
      <c r="Z16" s="46"/>
      <c r="AA16" s="46"/>
      <c r="AB16" s="46"/>
      <c r="AC16" s="46"/>
      <c r="AD16" s="46"/>
      <c r="AE16" s="46"/>
      <c r="AF16" s="46"/>
      <c r="AG16" s="46"/>
      <c r="AH16" s="46"/>
      <c r="AI16" s="46"/>
      <c r="AJ16" s="46"/>
      <c r="AK16" s="46"/>
      <c r="AL16" s="46"/>
      <c r="AM16" s="46"/>
      <c r="AN16" s="46"/>
      <c r="AO16" s="46"/>
      <c r="AP16" s="55"/>
    </row>
    <row r="17" spans="2:42" s="40" customFormat="1" ht="23.25" customHeight="1" x14ac:dyDescent="0.3">
      <c r="B17" s="56">
        <v>11</v>
      </c>
      <c r="C17" s="96">
        <v>0</v>
      </c>
      <c r="D17" s="58">
        <v>24</v>
      </c>
      <c r="E17" s="57">
        <v>12</v>
      </c>
      <c r="F17" s="53"/>
      <c r="G17" s="45"/>
      <c r="H17" s="46"/>
      <c r="I17" s="46"/>
      <c r="J17" s="46"/>
      <c r="K17" s="46"/>
      <c r="L17" s="46"/>
      <c r="M17" s="46"/>
      <c r="N17" s="46"/>
      <c r="O17" s="46"/>
      <c r="P17" s="46"/>
      <c r="Q17" s="46"/>
      <c r="R17" s="46"/>
      <c r="S17" s="46"/>
      <c r="T17" s="46"/>
      <c r="U17" s="46"/>
      <c r="V17" s="46"/>
      <c r="W17" s="46"/>
      <c r="X17" s="46"/>
      <c r="Y17" s="46"/>
      <c r="Z17" s="46"/>
      <c r="AA17" s="46"/>
      <c r="AB17" s="46"/>
      <c r="AC17" s="46"/>
      <c r="AD17" s="46"/>
      <c r="AE17" s="46"/>
      <c r="AF17" s="46"/>
      <c r="AG17" s="46"/>
      <c r="AH17" s="46"/>
      <c r="AI17" s="46"/>
      <c r="AJ17" s="46"/>
      <c r="AK17" s="46"/>
      <c r="AL17" s="46"/>
      <c r="AM17" s="46"/>
      <c r="AN17" s="46"/>
      <c r="AO17" s="46"/>
      <c r="AP17" s="55"/>
    </row>
    <row r="18" spans="2:42" s="40" customFormat="1" ht="23.25" customHeight="1" x14ac:dyDescent="0.3">
      <c r="B18" s="56">
        <v>12</v>
      </c>
      <c r="C18" s="96">
        <v>0</v>
      </c>
      <c r="D18" s="58">
        <v>26</v>
      </c>
      <c r="E18" s="57">
        <v>12</v>
      </c>
      <c r="F18" s="53"/>
      <c r="G18" s="45"/>
      <c r="H18" s="46"/>
      <c r="I18" s="46"/>
      <c r="J18" s="46"/>
      <c r="K18" s="46"/>
      <c r="L18" s="46"/>
      <c r="M18" s="46"/>
      <c r="N18" s="46"/>
      <c r="O18" s="46"/>
      <c r="P18" s="46"/>
      <c r="Q18" s="46"/>
      <c r="R18" s="46"/>
      <c r="S18" s="46"/>
      <c r="T18" s="46"/>
      <c r="U18" s="46"/>
      <c r="V18" s="46"/>
      <c r="W18" s="46"/>
      <c r="X18" s="46"/>
      <c r="Y18" s="46"/>
      <c r="Z18" s="46"/>
      <c r="AA18" s="46"/>
      <c r="AB18" s="46"/>
      <c r="AC18" s="46"/>
      <c r="AD18" s="46"/>
      <c r="AE18" s="46"/>
      <c r="AF18" s="46"/>
      <c r="AG18" s="46"/>
      <c r="AH18" s="46"/>
      <c r="AI18" s="46"/>
      <c r="AJ18" s="46"/>
      <c r="AK18" s="46"/>
      <c r="AL18" s="46"/>
      <c r="AM18" s="46"/>
      <c r="AN18" s="46"/>
      <c r="AO18" s="46"/>
      <c r="AP18" s="55"/>
    </row>
    <row r="19" spans="2:42" s="40" customFormat="1" ht="23.25" customHeight="1" x14ac:dyDescent="0.3">
      <c r="B19" s="56">
        <v>13</v>
      </c>
      <c r="C19" s="96">
        <v>0</v>
      </c>
      <c r="D19" s="58">
        <v>30</v>
      </c>
      <c r="E19" s="57">
        <v>16</v>
      </c>
      <c r="F19" s="53"/>
      <c r="G19" s="45"/>
      <c r="H19" s="46"/>
      <c r="I19" s="46"/>
      <c r="J19" s="46"/>
      <c r="K19" s="46"/>
      <c r="L19" s="46"/>
      <c r="M19" s="46"/>
      <c r="N19" s="46"/>
      <c r="O19" s="46"/>
      <c r="P19" s="46"/>
      <c r="Q19" s="46"/>
      <c r="R19" s="46"/>
      <c r="S19" s="46"/>
      <c r="T19" s="46"/>
      <c r="U19" s="46"/>
      <c r="V19" s="46"/>
      <c r="W19" s="46"/>
      <c r="X19" s="46"/>
      <c r="Y19" s="46"/>
      <c r="Z19" s="46"/>
      <c r="AA19" s="46"/>
      <c r="AB19" s="46"/>
      <c r="AC19" s="46"/>
      <c r="AD19" s="46"/>
      <c r="AE19" s="46"/>
      <c r="AF19" s="46"/>
      <c r="AG19" s="46"/>
      <c r="AH19" s="46"/>
      <c r="AI19" s="46"/>
      <c r="AJ19" s="46"/>
      <c r="AK19" s="46"/>
      <c r="AL19" s="46"/>
      <c r="AM19" s="46"/>
      <c r="AN19" s="46"/>
      <c r="AO19" s="46"/>
      <c r="AP19" s="55"/>
    </row>
    <row r="20" spans="2:42" s="40" customFormat="1" ht="23.25" customHeight="1" x14ac:dyDescent="0.3">
      <c r="B20" s="56">
        <v>14</v>
      </c>
      <c r="C20" s="96">
        <v>0</v>
      </c>
      <c r="D20" s="58">
        <v>30</v>
      </c>
      <c r="E20" s="57">
        <v>16</v>
      </c>
      <c r="F20" s="53"/>
      <c r="G20" s="45"/>
      <c r="H20" s="46"/>
      <c r="I20" s="46"/>
      <c r="J20" s="46"/>
      <c r="K20" s="46"/>
      <c r="L20" s="46"/>
      <c r="M20" s="46"/>
      <c r="N20" s="46"/>
      <c r="O20" s="46"/>
      <c r="P20" s="46"/>
      <c r="Q20" s="46"/>
      <c r="R20" s="46"/>
      <c r="S20" s="46"/>
      <c r="T20" s="46"/>
      <c r="U20" s="46"/>
      <c r="V20" s="46"/>
      <c r="W20" s="46"/>
      <c r="X20" s="46"/>
      <c r="Y20" s="46"/>
      <c r="Z20" s="46"/>
      <c r="AA20" s="46"/>
      <c r="AB20" s="46"/>
      <c r="AC20" s="46"/>
      <c r="AD20" s="46"/>
      <c r="AE20" s="46"/>
      <c r="AF20" s="46"/>
      <c r="AG20" s="46"/>
      <c r="AH20" s="46"/>
      <c r="AI20" s="46"/>
      <c r="AJ20" s="46"/>
      <c r="AK20" s="46"/>
      <c r="AL20" s="46"/>
      <c r="AM20" s="46"/>
      <c r="AN20" s="46"/>
      <c r="AO20" s="46"/>
      <c r="AP20" s="55"/>
    </row>
    <row r="21" spans="2:42" s="40" customFormat="1" ht="23.25" customHeight="1" x14ac:dyDescent="0.3">
      <c r="B21" s="56">
        <v>15</v>
      </c>
      <c r="C21" s="96">
        <v>0</v>
      </c>
      <c r="D21" s="58">
        <v>30</v>
      </c>
      <c r="E21" s="57">
        <v>16</v>
      </c>
      <c r="F21" s="53"/>
      <c r="G21" s="45"/>
      <c r="H21" s="46"/>
      <c r="I21" s="46"/>
      <c r="J21" s="46"/>
      <c r="K21" s="46"/>
      <c r="L21" s="46"/>
      <c r="M21" s="46"/>
      <c r="N21" s="46"/>
      <c r="O21" s="46"/>
      <c r="P21" s="46"/>
      <c r="Q21" s="46"/>
      <c r="R21" s="46"/>
      <c r="S21" s="46"/>
      <c r="T21" s="46"/>
      <c r="U21" s="46"/>
      <c r="V21" s="46"/>
      <c r="W21" s="46"/>
      <c r="X21" s="46"/>
      <c r="Y21" s="46"/>
      <c r="Z21" s="46"/>
      <c r="AA21" s="46"/>
      <c r="AB21" s="46"/>
      <c r="AC21" s="46"/>
      <c r="AD21" s="46"/>
      <c r="AE21" s="46"/>
      <c r="AF21" s="46"/>
      <c r="AG21" s="46"/>
      <c r="AH21" s="46"/>
      <c r="AI21" s="46"/>
      <c r="AJ21" s="46"/>
      <c r="AK21" s="46"/>
      <c r="AL21" s="46"/>
      <c r="AM21" s="46"/>
      <c r="AN21" s="46"/>
      <c r="AO21" s="46"/>
      <c r="AP21" s="55"/>
    </row>
    <row r="22" spans="2:42" s="40" customFormat="1" ht="23.25" customHeight="1" x14ac:dyDescent="0.3">
      <c r="B22" s="56">
        <v>16</v>
      </c>
      <c r="C22" s="96">
        <v>0</v>
      </c>
      <c r="D22" s="58">
        <v>30</v>
      </c>
      <c r="E22" s="57">
        <v>16</v>
      </c>
      <c r="F22" s="53"/>
      <c r="G22" s="45"/>
      <c r="H22" s="46"/>
      <c r="I22" s="46"/>
      <c r="J22" s="46"/>
      <c r="K22" s="46"/>
      <c r="L22" s="46"/>
      <c r="M22" s="46"/>
      <c r="N22" s="46"/>
      <c r="O22" s="46"/>
      <c r="P22" s="46"/>
      <c r="Q22" s="46"/>
      <c r="R22" s="46"/>
      <c r="S22" s="46"/>
      <c r="T22" s="46"/>
      <c r="U22" s="46"/>
      <c r="V22" s="46"/>
      <c r="W22" s="46"/>
      <c r="X22" s="46"/>
      <c r="Y22" s="46"/>
      <c r="Z22" s="46"/>
      <c r="AA22" s="46"/>
      <c r="AB22" s="46"/>
      <c r="AC22" s="46"/>
      <c r="AD22" s="46"/>
      <c r="AE22" s="46"/>
      <c r="AF22" s="46"/>
      <c r="AG22" s="46"/>
      <c r="AH22" s="46"/>
      <c r="AI22" s="46"/>
      <c r="AJ22" s="46"/>
      <c r="AK22" s="46"/>
      <c r="AL22" s="46"/>
      <c r="AM22" s="46"/>
      <c r="AN22" s="46"/>
      <c r="AO22" s="46"/>
      <c r="AP22" s="55"/>
    </row>
    <row r="23" spans="2:42" s="40" customFormat="1" ht="23.25" customHeight="1" x14ac:dyDescent="0.3">
      <c r="B23" s="56">
        <v>17</v>
      </c>
      <c r="C23" s="96">
        <v>0</v>
      </c>
      <c r="D23" s="58">
        <v>31</v>
      </c>
      <c r="E23" s="57">
        <v>16</v>
      </c>
      <c r="F23" s="53"/>
      <c r="G23" s="45"/>
      <c r="H23" s="46"/>
      <c r="I23" s="46"/>
      <c r="J23" s="46"/>
      <c r="K23" s="46"/>
      <c r="L23" s="46"/>
      <c r="M23" s="46"/>
      <c r="N23" s="46"/>
      <c r="O23" s="46"/>
      <c r="P23" s="46"/>
      <c r="Q23" s="46"/>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55"/>
    </row>
    <row r="24" spans="2:42" s="40" customFormat="1" ht="23.25" customHeight="1" x14ac:dyDescent="0.3">
      <c r="B24" s="56">
        <v>18</v>
      </c>
      <c r="C24" s="96">
        <v>0</v>
      </c>
      <c r="D24" s="58">
        <v>24</v>
      </c>
      <c r="E24" s="57">
        <v>12</v>
      </c>
      <c r="F24" s="53"/>
      <c r="G24" s="45"/>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55"/>
    </row>
    <row r="25" spans="2:42" s="40" customFormat="1" ht="23.25" customHeight="1" x14ac:dyDescent="0.3">
      <c r="B25" s="56">
        <v>19</v>
      </c>
      <c r="C25" s="96">
        <v>0</v>
      </c>
      <c r="D25" s="58">
        <v>26</v>
      </c>
      <c r="E25" s="57">
        <v>12</v>
      </c>
      <c r="F25" s="53"/>
      <c r="G25" s="45"/>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55"/>
    </row>
    <row r="26" spans="2:42" s="40" customFormat="1" ht="23.25" customHeight="1" x14ac:dyDescent="0.3">
      <c r="B26" s="56">
        <v>20</v>
      </c>
      <c r="C26" s="96">
        <v>0</v>
      </c>
      <c r="D26" s="58">
        <v>30</v>
      </c>
      <c r="E26" s="57">
        <v>16</v>
      </c>
      <c r="F26" s="53"/>
      <c r="G26" s="45"/>
      <c r="H26" s="46"/>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55"/>
    </row>
    <row r="27" spans="2:42" s="40" customFormat="1" ht="23.25" customHeight="1" x14ac:dyDescent="0.3">
      <c r="B27" s="56">
        <v>21</v>
      </c>
      <c r="C27" s="96">
        <v>0</v>
      </c>
      <c r="D27" s="58">
        <v>30</v>
      </c>
      <c r="E27" s="57">
        <v>16</v>
      </c>
      <c r="F27" s="53"/>
      <c r="G27" s="45"/>
      <c r="H27" s="46"/>
      <c r="I27" s="46"/>
      <c r="J27" s="46"/>
      <c r="K27" s="46"/>
      <c r="L27" s="46"/>
      <c r="M27" s="46"/>
      <c r="N27" s="46"/>
      <c r="O27" s="46"/>
      <c r="P27" s="46"/>
      <c r="Q27" s="46"/>
      <c r="R27" s="46"/>
      <c r="S27" s="46"/>
      <c r="T27" s="46"/>
      <c r="U27" s="46"/>
      <c r="V27" s="46"/>
      <c r="W27" s="46"/>
      <c r="X27" s="46"/>
      <c r="Y27" s="46"/>
      <c r="Z27" s="46"/>
      <c r="AA27" s="46"/>
      <c r="AB27" s="46"/>
      <c r="AC27" s="46"/>
      <c r="AD27" s="46"/>
      <c r="AE27" s="46"/>
      <c r="AF27" s="46"/>
      <c r="AG27" s="46"/>
      <c r="AH27" s="46"/>
      <c r="AI27" s="46"/>
      <c r="AJ27" s="46"/>
      <c r="AK27" s="46"/>
      <c r="AL27" s="46"/>
      <c r="AM27" s="46"/>
      <c r="AN27" s="46"/>
      <c r="AO27" s="46"/>
      <c r="AP27" s="55"/>
    </row>
    <row r="28" spans="2:42" s="40" customFormat="1" ht="23.25" customHeight="1" x14ac:dyDescent="0.3">
      <c r="B28" s="56">
        <v>22</v>
      </c>
      <c r="C28" s="96">
        <v>0</v>
      </c>
      <c r="D28" s="58">
        <v>30</v>
      </c>
      <c r="E28" s="57">
        <v>16</v>
      </c>
      <c r="F28" s="53"/>
      <c r="G28" s="45"/>
      <c r="H28" s="46"/>
      <c r="I28" s="46"/>
      <c r="J28" s="46"/>
      <c r="K28" s="46"/>
      <c r="L28" s="46"/>
      <c r="M28" s="46"/>
      <c r="N28" s="46"/>
      <c r="O28" s="46"/>
      <c r="P28" s="46"/>
      <c r="Q28" s="46"/>
      <c r="R28" s="46"/>
      <c r="S28" s="46"/>
      <c r="T28" s="46"/>
      <c r="U28" s="46"/>
      <c r="V28" s="46"/>
      <c r="W28" s="46"/>
      <c r="X28" s="46"/>
      <c r="Y28" s="46"/>
      <c r="Z28" s="46"/>
      <c r="AA28" s="46"/>
      <c r="AB28" s="46"/>
      <c r="AC28" s="46"/>
      <c r="AD28" s="46"/>
      <c r="AE28" s="46"/>
      <c r="AF28" s="46"/>
      <c r="AG28" s="46"/>
      <c r="AH28" s="46"/>
      <c r="AI28" s="46"/>
      <c r="AJ28" s="46"/>
      <c r="AK28" s="46"/>
      <c r="AL28" s="46"/>
      <c r="AM28" s="46"/>
      <c r="AN28" s="46"/>
      <c r="AO28" s="46"/>
      <c r="AP28" s="55"/>
    </row>
    <row r="29" spans="2:42" s="40" customFormat="1" ht="23.25" customHeight="1" x14ac:dyDescent="0.3">
      <c r="B29" s="56">
        <v>23</v>
      </c>
      <c r="C29" s="96">
        <v>0</v>
      </c>
      <c r="D29" s="58">
        <v>30</v>
      </c>
      <c r="E29" s="57">
        <v>16</v>
      </c>
      <c r="F29" s="53"/>
      <c r="G29" s="45"/>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55"/>
    </row>
    <row r="30" spans="2:42" s="40" customFormat="1" ht="23.25" customHeight="1" x14ac:dyDescent="0.3">
      <c r="B30" s="56">
        <v>24</v>
      </c>
      <c r="C30" s="96">
        <v>0</v>
      </c>
      <c r="D30" s="58">
        <v>31</v>
      </c>
      <c r="E30" s="57">
        <v>16</v>
      </c>
      <c r="F30" s="53"/>
      <c r="G30" s="45"/>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55"/>
    </row>
    <row r="31" spans="2:42" s="40" customFormat="1" ht="23.25" customHeight="1" x14ac:dyDescent="0.3">
      <c r="B31" s="56">
        <v>25</v>
      </c>
      <c r="C31" s="96">
        <v>0</v>
      </c>
      <c r="D31" s="58">
        <v>24</v>
      </c>
      <c r="E31" s="57">
        <v>12</v>
      </c>
      <c r="F31" s="53"/>
      <c r="G31" s="45"/>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55"/>
    </row>
    <row r="32" spans="2:42" s="40" customFormat="1" ht="23.25" customHeight="1" x14ac:dyDescent="0.3">
      <c r="B32" s="56">
        <v>26</v>
      </c>
      <c r="C32" s="96">
        <v>0</v>
      </c>
      <c r="D32" s="58">
        <v>26</v>
      </c>
      <c r="E32" s="57">
        <v>12</v>
      </c>
      <c r="F32" s="53"/>
      <c r="G32" s="45"/>
      <c r="H32" s="46"/>
      <c r="I32" s="46"/>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55"/>
    </row>
    <row r="33" spans="2:42" s="40" customFormat="1" ht="23.25" customHeight="1" x14ac:dyDescent="0.3">
      <c r="B33" s="56">
        <v>27</v>
      </c>
      <c r="C33" s="96">
        <v>0</v>
      </c>
      <c r="D33" s="58">
        <v>30</v>
      </c>
      <c r="E33" s="57">
        <v>16</v>
      </c>
      <c r="F33" s="53"/>
      <c r="G33" s="45"/>
      <c r="H33" s="46"/>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55"/>
    </row>
    <row r="34" spans="2:42" s="40" customFormat="1" ht="23.25" customHeight="1" x14ac:dyDescent="0.3">
      <c r="B34" s="56">
        <v>28</v>
      </c>
      <c r="C34" s="96">
        <v>0</v>
      </c>
      <c r="D34" s="58">
        <v>30</v>
      </c>
      <c r="E34" s="57">
        <v>16</v>
      </c>
      <c r="F34" s="53"/>
      <c r="G34" s="45"/>
      <c r="H34" s="46"/>
      <c r="I34" s="46"/>
      <c r="J34" s="46"/>
      <c r="K34" s="46"/>
      <c r="L34" s="46"/>
      <c r="M34" s="46"/>
      <c r="N34" s="46"/>
      <c r="O34" s="46"/>
      <c r="P34" s="46"/>
      <c r="Q34" s="46"/>
      <c r="R34" s="46"/>
      <c r="S34" s="46"/>
      <c r="T34" s="46"/>
      <c r="U34" s="46"/>
      <c r="V34" s="46"/>
      <c r="W34" s="46"/>
      <c r="X34" s="46"/>
      <c r="Y34" s="46"/>
      <c r="Z34" s="46"/>
      <c r="AA34" s="46"/>
      <c r="AB34" s="46"/>
      <c r="AC34" s="46"/>
      <c r="AD34" s="46"/>
      <c r="AE34" s="46"/>
      <c r="AF34" s="46"/>
      <c r="AG34" s="46"/>
      <c r="AH34" s="46"/>
      <c r="AI34" s="46"/>
      <c r="AJ34" s="46"/>
      <c r="AK34" s="46"/>
      <c r="AL34" s="46"/>
      <c r="AM34" s="46"/>
      <c r="AN34" s="46"/>
      <c r="AO34" s="46"/>
      <c r="AP34" s="55"/>
    </row>
    <row r="35" spans="2:42" s="40" customFormat="1" ht="23.25" customHeight="1" x14ac:dyDescent="0.3">
      <c r="B35" s="56">
        <v>29</v>
      </c>
      <c r="C35" s="96">
        <v>0</v>
      </c>
      <c r="D35" s="58">
        <v>0</v>
      </c>
      <c r="E35" s="57">
        <v>0</v>
      </c>
      <c r="F35" s="53"/>
      <c r="G35" s="45"/>
      <c r="H35" s="46"/>
      <c r="I35" s="46"/>
      <c r="J35" s="46"/>
      <c r="K35" s="46"/>
      <c r="L35" s="46"/>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55"/>
    </row>
    <row r="36" spans="2:42" s="40" customFormat="1" ht="23.25" customHeight="1" x14ac:dyDescent="0.3">
      <c r="B36" s="56">
        <v>30</v>
      </c>
      <c r="C36" s="96">
        <v>0</v>
      </c>
      <c r="D36" s="58">
        <v>0</v>
      </c>
      <c r="E36" s="57">
        <v>0</v>
      </c>
      <c r="F36" s="53"/>
      <c r="G36" s="45"/>
      <c r="H36" s="46"/>
      <c r="I36" s="46"/>
      <c r="J36" s="46"/>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55"/>
    </row>
    <row r="37" spans="2:42" s="40" customFormat="1" ht="23.25" customHeight="1" thickBot="1" x14ac:dyDescent="0.35">
      <c r="B37" s="89">
        <v>31</v>
      </c>
      <c r="C37" s="96">
        <v>0</v>
      </c>
      <c r="D37" s="90">
        <v>0</v>
      </c>
      <c r="E37" s="58">
        <v>0</v>
      </c>
      <c r="F37" s="53"/>
      <c r="G37" s="45"/>
      <c r="H37" s="46"/>
      <c r="I37" s="46"/>
      <c r="J37" s="46"/>
      <c r="K37" s="46"/>
      <c r="L37" s="46"/>
      <c r="M37" s="46"/>
      <c r="N37" s="4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55"/>
    </row>
    <row r="38" spans="2:42" s="40" customFormat="1" ht="23.25" customHeight="1" thickBot="1" x14ac:dyDescent="0.35">
      <c r="B38" s="92" t="s">
        <v>3</v>
      </c>
      <c r="C38" s="93">
        <f>SUM(C7:C37)</f>
        <v>0</v>
      </c>
      <c r="D38" s="93">
        <f>SUM(D7:D37)</f>
        <v>794</v>
      </c>
      <c r="E38" s="94">
        <f>SUM(E7:E37)</f>
        <v>416</v>
      </c>
      <c r="F38" s="53"/>
      <c r="G38" s="45"/>
      <c r="H38" s="46"/>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55"/>
    </row>
    <row r="39" spans="2:42" s="40" customFormat="1" ht="23.25" customHeight="1" x14ac:dyDescent="0.25">
      <c r="B39" s="37"/>
      <c r="C39" s="38"/>
      <c r="D39" s="38"/>
      <c r="E39" s="38"/>
      <c r="F39" s="53"/>
      <c r="G39" s="45"/>
      <c r="H39" s="46"/>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55"/>
    </row>
    <row r="40" spans="2:42" s="40" customFormat="1" ht="23.25" customHeight="1" thickBot="1" x14ac:dyDescent="0.3">
      <c r="B40" s="37"/>
      <c r="C40" s="38"/>
      <c r="D40" s="38"/>
      <c r="E40" s="38"/>
      <c r="G40" s="71"/>
      <c r="H40" s="73"/>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72"/>
    </row>
    <row r="41" spans="2:42" ht="17.399999999999999" x14ac:dyDescent="0.25">
      <c r="G41" s="40"/>
      <c r="H41" s="40"/>
    </row>
    <row r="42" spans="2:42" ht="17.399999999999999" x14ac:dyDescent="0.25">
      <c r="G42" s="40"/>
      <c r="H42" s="40"/>
    </row>
  </sheetData>
  <mergeCells count="13">
    <mergeCell ref="H7:H11"/>
    <mergeCell ref="B2:E2"/>
    <mergeCell ref="G2:AP2"/>
    <mergeCell ref="B3:E3"/>
    <mergeCell ref="B4:B6"/>
    <mergeCell ref="C4:E4"/>
    <mergeCell ref="C5:E5"/>
    <mergeCell ref="H5:AO6"/>
    <mergeCell ref="K7:AO7"/>
    <mergeCell ref="I8:J8"/>
    <mergeCell ref="I9:J9"/>
    <mergeCell ref="I10:J10"/>
    <mergeCell ref="I11:J11"/>
  </mergeCells>
  <pageMargins left="0.75" right="0.75" top="1" bottom="1" header="0" footer="0"/>
  <pageSetup paperSize="9" scale="26" orientation="landscape"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D5D0A8-3B0D-430C-84BC-E9979C5B9D09}">
  <sheetPr codeName="Hoja5">
    <pageSetUpPr fitToPage="1"/>
  </sheetPr>
  <dimension ref="B1:AP42"/>
  <sheetViews>
    <sheetView topLeftCell="B1" zoomScale="70" zoomScaleNormal="70" workbookViewId="0"/>
  </sheetViews>
  <sheetFormatPr baseColWidth="10" defaultColWidth="11.44140625" defaultRowHeight="13.2" x14ac:dyDescent="0.25"/>
  <cols>
    <col min="1" max="1" width="2.21875" style="38" customWidth="1"/>
    <col min="2" max="2" width="11.77734375" style="37" customWidth="1"/>
    <col min="3" max="5" width="12.77734375" style="38" customWidth="1"/>
    <col min="6" max="6" width="5.77734375" style="38" customWidth="1"/>
    <col min="7" max="7" width="6.21875" style="38" customWidth="1"/>
    <col min="8" max="8" width="4" style="38" customWidth="1"/>
    <col min="9" max="9" width="6.21875" style="38" customWidth="1"/>
    <col min="10" max="10" width="5" style="38" customWidth="1"/>
    <col min="11" max="11" width="5.77734375" style="38" customWidth="1"/>
    <col min="12" max="12" width="5" style="38" customWidth="1"/>
    <col min="13" max="31" width="3.77734375" style="38" customWidth="1"/>
    <col min="32" max="32" width="4.77734375" style="38" customWidth="1"/>
    <col min="33" max="33" width="3.77734375" style="38" customWidth="1"/>
    <col min="34" max="42" width="4.77734375" style="38" bestFit="1" customWidth="1"/>
    <col min="43" max="43" width="3.77734375" style="38" customWidth="1"/>
    <col min="44" max="44" width="7.77734375" style="38" customWidth="1"/>
    <col min="45" max="16384" width="11.44140625" style="38"/>
  </cols>
  <sheetData>
    <row r="1" spans="2:42" ht="11.25" customHeight="1" thickBot="1" x14ac:dyDescent="0.3"/>
    <row r="2" spans="2:42" ht="50.25" customHeight="1" thickBot="1" x14ac:dyDescent="0.3">
      <c r="B2" s="380" t="s">
        <v>88</v>
      </c>
      <c r="C2" s="380"/>
      <c r="D2" s="380"/>
      <c r="E2" s="380"/>
      <c r="G2" s="374" t="s">
        <v>6</v>
      </c>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6"/>
    </row>
    <row r="3" spans="2:42" ht="24" customHeight="1" x14ac:dyDescent="0.25">
      <c r="B3" s="379">
        <v>44986</v>
      </c>
      <c r="C3" s="379"/>
      <c r="D3" s="379"/>
      <c r="E3" s="379"/>
      <c r="F3" s="40"/>
      <c r="G3" s="41"/>
      <c r="H3" s="42"/>
      <c r="I3" s="42"/>
      <c r="J3" s="4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43"/>
    </row>
    <row r="4" spans="2:42" ht="33.75" customHeight="1" thickBot="1" x14ac:dyDescent="0.3">
      <c r="B4" s="377" t="s">
        <v>10</v>
      </c>
      <c r="C4" s="381" t="s">
        <v>7</v>
      </c>
      <c r="D4" s="381"/>
      <c r="E4" s="381"/>
      <c r="F4" s="40"/>
      <c r="G4" s="45"/>
      <c r="H4" s="46"/>
      <c r="I4" s="46"/>
      <c r="J4" s="46"/>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8"/>
    </row>
    <row r="5" spans="2:42" ht="23.25" customHeight="1" x14ac:dyDescent="0.25">
      <c r="B5" s="377"/>
      <c r="C5" s="382" t="s">
        <v>9</v>
      </c>
      <c r="D5" s="382"/>
      <c r="E5" s="382"/>
      <c r="G5" s="49"/>
      <c r="H5" s="312" t="s">
        <v>8</v>
      </c>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4"/>
      <c r="AP5" s="48"/>
    </row>
    <row r="6" spans="2:42" ht="23.25" customHeight="1" thickBot="1" x14ac:dyDescent="0.3">
      <c r="B6" s="377" t="s">
        <v>89</v>
      </c>
      <c r="C6" s="50" t="s">
        <v>90</v>
      </c>
      <c r="D6" s="50" t="s">
        <v>91</v>
      </c>
      <c r="E6" s="50" t="s">
        <v>92</v>
      </c>
      <c r="G6" s="49"/>
      <c r="H6" s="373"/>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7"/>
      <c r="AP6" s="48"/>
    </row>
    <row r="7" spans="2:42" s="40" customFormat="1" ht="23.25" customHeight="1" x14ac:dyDescent="0.3">
      <c r="B7" s="95">
        <v>1</v>
      </c>
      <c r="C7" s="96">
        <v>0</v>
      </c>
      <c r="D7" s="51">
        <v>30</v>
      </c>
      <c r="E7" s="57">
        <v>16</v>
      </c>
      <c r="F7" s="53"/>
      <c r="G7" s="45"/>
      <c r="H7" s="383">
        <f>B3</f>
        <v>44986</v>
      </c>
      <c r="I7" s="54"/>
      <c r="J7" s="54"/>
      <c r="K7" s="365" t="s">
        <v>2</v>
      </c>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55"/>
    </row>
    <row r="8" spans="2:42" s="40" customFormat="1" ht="23.25" customHeight="1" x14ac:dyDescent="0.3">
      <c r="B8" s="56">
        <v>2</v>
      </c>
      <c r="C8" s="96">
        <v>0</v>
      </c>
      <c r="D8" s="58">
        <v>30</v>
      </c>
      <c r="E8" s="57">
        <v>16</v>
      </c>
      <c r="F8" s="53"/>
      <c r="G8" s="45"/>
      <c r="H8" s="384"/>
      <c r="I8" s="368"/>
      <c r="J8" s="368"/>
      <c r="K8" s="100">
        <v>1</v>
      </c>
      <c r="L8" s="100">
        <v>2</v>
      </c>
      <c r="M8" s="100">
        <v>3</v>
      </c>
      <c r="N8" s="100">
        <v>4</v>
      </c>
      <c r="O8" s="100">
        <v>5</v>
      </c>
      <c r="P8" s="100">
        <v>6</v>
      </c>
      <c r="Q8" s="100">
        <v>7</v>
      </c>
      <c r="R8" s="100">
        <v>8</v>
      </c>
      <c r="S8" s="100">
        <v>9</v>
      </c>
      <c r="T8" s="100">
        <v>10</v>
      </c>
      <c r="U8" s="100">
        <v>11</v>
      </c>
      <c r="V8" s="100">
        <v>12</v>
      </c>
      <c r="W8" s="100">
        <v>13</v>
      </c>
      <c r="X8" s="100">
        <v>14</v>
      </c>
      <c r="Y8" s="100">
        <v>15</v>
      </c>
      <c r="Z8" s="100">
        <v>16</v>
      </c>
      <c r="AA8" s="100">
        <v>17</v>
      </c>
      <c r="AB8" s="100">
        <v>18</v>
      </c>
      <c r="AC8" s="100">
        <v>19</v>
      </c>
      <c r="AD8" s="100">
        <v>20</v>
      </c>
      <c r="AE8" s="100">
        <v>21</v>
      </c>
      <c r="AF8" s="100">
        <v>22</v>
      </c>
      <c r="AG8" s="100">
        <v>23</v>
      </c>
      <c r="AH8" s="100">
        <v>24</v>
      </c>
      <c r="AI8" s="100">
        <v>25</v>
      </c>
      <c r="AJ8" s="100">
        <v>26</v>
      </c>
      <c r="AK8" s="100">
        <v>27</v>
      </c>
      <c r="AL8" s="100">
        <v>28</v>
      </c>
      <c r="AM8" s="100">
        <v>29</v>
      </c>
      <c r="AN8" s="100">
        <v>30</v>
      </c>
      <c r="AO8" s="100">
        <v>31</v>
      </c>
      <c r="AP8" s="55"/>
    </row>
    <row r="9" spans="2:42" s="40" customFormat="1" ht="23.25" customHeight="1" x14ac:dyDescent="0.3">
      <c r="B9" s="56">
        <v>3</v>
      </c>
      <c r="C9" s="96">
        <v>0</v>
      </c>
      <c r="D9" s="58">
        <v>31</v>
      </c>
      <c r="E9" s="57">
        <v>16</v>
      </c>
      <c r="F9" s="53"/>
      <c r="G9" s="45"/>
      <c r="H9" s="384"/>
      <c r="I9" s="378" t="s">
        <v>7</v>
      </c>
      <c r="J9" s="378"/>
      <c r="K9" s="61">
        <f t="array" ref="K9:AO9">TRANSPOSE(D7:D37)</f>
        <v>30</v>
      </c>
      <c r="L9" s="61">
        <v>30</v>
      </c>
      <c r="M9" s="61">
        <v>31</v>
      </c>
      <c r="N9" s="61">
        <v>24</v>
      </c>
      <c r="O9" s="61">
        <v>26</v>
      </c>
      <c r="P9" s="61">
        <v>30</v>
      </c>
      <c r="Q9" s="61">
        <v>30</v>
      </c>
      <c r="R9" s="61">
        <v>30</v>
      </c>
      <c r="S9" s="61">
        <v>30</v>
      </c>
      <c r="T9" s="61">
        <v>31</v>
      </c>
      <c r="U9" s="61">
        <v>24</v>
      </c>
      <c r="V9" s="61">
        <v>26</v>
      </c>
      <c r="W9" s="61">
        <v>30</v>
      </c>
      <c r="X9" s="61">
        <v>30</v>
      </c>
      <c r="Y9" s="61">
        <v>30</v>
      </c>
      <c r="Z9" s="61">
        <v>30</v>
      </c>
      <c r="AA9" s="61">
        <v>31</v>
      </c>
      <c r="AB9" s="61">
        <v>24</v>
      </c>
      <c r="AC9" s="61">
        <v>25</v>
      </c>
      <c r="AD9" s="61">
        <v>30</v>
      </c>
      <c r="AE9" s="61">
        <v>30</v>
      </c>
      <c r="AF9" s="61">
        <v>30</v>
      </c>
      <c r="AG9" s="61">
        <v>30</v>
      </c>
      <c r="AH9" s="61">
        <v>31</v>
      </c>
      <c r="AI9" s="61">
        <v>24</v>
      </c>
      <c r="AJ9" s="61">
        <v>26</v>
      </c>
      <c r="AK9" s="61">
        <v>33</v>
      </c>
      <c r="AL9" s="61">
        <v>33</v>
      </c>
      <c r="AM9" s="61">
        <v>33</v>
      </c>
      <c r="AN9" s="61">
        <v>33</v>
      </c>
      <c r="AO9" s="61">
        <v>34</v>
      </c>
      <c r="AP9" s="62" t="e">
        <f>SUM(#REF!)</f>
        <v>#REF!</v>
      </c>
    </row>
    <row r="10" spans="2:42" s="40" customFormat="1" ht="23.25" customHeight="1" x14ac:dyDescent="0.3">
      <c r="B10" s="56">
        <v>4</v>
      </c>
      <c r="C10" s="96">
        <v>0</v>
      </c>
      <c r="D10" s="58">
        <v>24</v>
      </c>
      <c r="E10" s="57">
        <v>12</v>
      </c>
      <c r="F10" s="53"/>
      <c r="G10" s="45"/>
      <c r="H10" s="384"/>
      <c r="I10" s="370" t="s">
        <v>11</v>
      </c>
      <c r="J10" s="370"/>
      <c r="K10" s="63">
        <f t="array" ref="K10:AO10">TRANSPOSE(E7:E37)</f>
        <v>16</v>
      </c>
      <c r="L10" s="63">
        <v>16</v>
      </c>
      <c r="M10" s="63">
        <v>16</v>
      </c>
      <c r="N10" s="63">
        <v>12</v>
      </c>
      <c r="O10" s="63">
        <v>12</v>
      </c>
      <c r="P10" s="63">
        <v>16</v>
      </c>
      <c r="Q10" s="63">
        <v>16</v>
      </c>
      <c r="R10" s="63">
        <v>16</v>
      </c>
      <c r="S10" s="63">
        <v>16</v>
      </c>
      <c r="T10" s="63">
        <v>16</v>
      </c>
      <c r="U10" s="63">
        <v>12</v>
      </c>
      <c r="V10" s="63">
        <v>12</v>
      </c>
      <c r="W10" s="63">
        <v>16</v>
      </c>
      <c r="X10" s="63">
        <v>16</v>
      </c>
      <c r="Y10" s="63">
        <v>16</v>
      </c>
      <c r="Z10" s="63">
        <v>16</v>
      </c>
      <c r="AA10" s="63">
        <v>16</v>
      </c>
      <c r="AB10" s="63">
        <v>12</v>
      </c>
      <c r="AC10" s="63">
        <v>12</v>
      </c>
      <c r="AD10" s="63">
        <v>16</v>
      </c>
      <c r="AE10" s="63">
        <v>16</v>
      </c>
      <c r="AF10" s="63">
        <v>16</v>
      </c>
      <c r="AG10" s="63">
        <v>16</v>
      </c>
      <c r="AH10" s="63">
        <v>16</v>
      </c>
      <c r="AI10" s="63">
        <v>12</v>
      </c>
      <c r="AJ10" s="63">
        <v>12</v>
      </c>
      <c r="AK10" s="63">
        <v>16</v>
      </c>
      <c r="AL10" s="63">
        <v>16</v>
      </c>
      <c r="AM10" s="63">
        <v>16</v>
      </c>
      <c r="AN10" s="63">
        <v>16</v>
      </c>
      <c r="AO10" s="63">
        <v>16</v>
      </c>
      <c r="AP10" s="55"/>
    </row>
    <row r="11" spans="2:42" s="40" customFormat="1" ht="23.25" customHeight="1" x14ac:dyDescent="0.3">
      <c r="B11" s="56">
        <v>5</v>
      </c>
      <c r="C11" s="96">
        <v>0</v>
      </c>
      <c r="D11" s="58">
        <v>26</v>
      </c>
      <c r="E11" s="57">
        <v>12</v>
      </c>
      <c r="F11" s="53"/>
      <c r="G11" s="45"/>
      <c r="H11" s="384"/>
      <c r="I11" s="372" t="s">
        <v>3</v>
      </c>
      <c r="J11" s="372"/>
      <c r="K11" s="101">
        <f>K9+K10</f>
        <v>46</v>
      </c>
      <c r="L11" s="101">
        <f t="shared" ref="L11:AO11" si="0">L9+L10</f>
        <v>46</v>
      </c>
      <c r="M11" s="101">
        <f t="shared" si="0"/>
        <v>47</v>
      </c>
      <c r="N11" s="101">
        <f t="shared" si="0"/>
        <v>36</v>
      </c>
      <c r="O11" s="101">
        <f t="shared" si="0"/>
        <v>38</v>
      </c>
      <c r="P11" s="101">
        <f t="shared" si="0"/>
        <v>46</v>
      </c>
      <c r="Q11" s="101">
        <f t="shared" si="0"/>
        <v>46</v>
      </c>
      <c r="R11" s="101">
        <f t="shared" si="0"/>
        <v>46</v>
      </c>
      <c r="S11" s="101">
        <f t="shared" si="0"/>
        <v>46</v>
      </c>
      <c r="T11" s="101">
        <f t="shared" si="0"/>
        <v>47</v>
      </c>
      <c r="U11" s="101">
        <f t="shared" si="0"/>
        <v>36</v>
      </c>
      <c r="V11" s="101">
        <f t="shared" si="0"/>
        <v>38</v>
      </c>
      <c r="W11" s="101">
        <f t="shared" si="0"/>
        <v>46</v>
      </c>
      <c r="X11" s="101">
        <f t="shared" si="0"/>
        <v>46</v>
      </c>
      <c r="Y11" s="101">
        <f t="shared" si="0"/>
        <v>46</v>
      </c>
      <c r="Z11" s="101">
        <f t="shared" si="0"/>
        <v>46</v>
      </c>
      <c r="AA11" s="101">
        <f t="shared" si="0"/>
        <v>47</v>
      </c>
      <c r="AB11" s="101">
        <f t="shared" si="0"/>
        <v>36</v>
      </c>
      <c r="AC11" s="101">
        <f t="shared" si="0"/>
        <v>37</v>
      </c>
      <c r="AD11" s="101">
        <f t="shared" si="0"/>
        <v>46</v>
      </c>
      <c r="AE11" s="101">
        <f t="shared" si="0"/>
        <v>46</v>
      </c>
      <c r="AF11" s="101">
        <f t="shared" si="0"/>
        <v>46</v>
      </c>
      <c r="AG11" s="101">
        <f t="shared" si="0"/>
        <v>46</v>
      </c>
      <c r="AH11" s="101">
        <f t="shared" si="0"/>
        <v>47</v>
      </c>
      <c r="AI11" s="101">
        <f t="shared" si="0"/>
        <v>36</v>
      </c>
      <c r="AJ11" s="101">
        <f t="shared" si="0"/>
        <v>38</v>
      </c>
      <c r="AK11" s="101">
        <f t="shared" si="0"/>
        <v>49</v>
      </c>
      <c r="AL11" s="101">
        <f t="shared" si="0"/>
        <v>49</v>
      </c>
      <c r="AM11" s="101">
        <f t="shared" si="0"/>
        <v>49</v>
      </c>
      <c r="AN11" s="101">
        <f t="shared" si="0"/>
        <v>49</v>
      </c>
      <c r="AO11" s="101">
        <f t="shared" si="0"/>
        <v>50</v>
      </c>
      <c r="AP11" s="55"/>
    </row>
    <row r="12" spans="2:42" s="40" customFormat="1" ht="23.25" customHeight="1" x14ac:dyDescent="0.3">
      <c r="B12" s="56">
        <v>6</v>
      </c>
      <c r="C12" s="96">
        <v>0</v>
      </c>
      <c r="D12" s="58">
        <v>30</v>
      </c>
      <c r="E12" s="57">
        <v>16</v>
      </c>
      <c r="F12" s="53"/>
      <c r="G12" s="45"/>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55"/>
    </row>
    <row r="13" spans="2:42" s="40" customFormat="1" ht="23.25" customHeight="1" x14ac:dyDescent="0.3">
      <c r="B13" s="56">
        <v>7</v>
      </c>
      <c r="C13" s="96">
        <v>0</v>
      </c>
      <c r="D13" s="58">
        <v>30</v>
      </c>
      <c r="E13" s="57">
        <v>16</v>
      </c>
      <c r="F13" s="53"/>
      <c r="G13" s="45"/>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55"/>
    </row>
    <row r="14" spans="2:42" s="40" customFormat="1" ht="23.25" customHeight="1" x14ac:dyDescent="0.3">
      <c r="B14" s="56">
        <v>8</v>
      </c>
      <c r="C14" s="96">
        <v>0</v>
      </c>
      <c r="D14" s="58">
        <v>30</v>
      </c>
      <c r="E14" s="57">
        <v>16</v>
      </c>
      <c r="F14" s="53"/>
      <c r="G14" s="45"/>
      <c r="H14" s="46"/>
      <c r="I14" s="46"/>
      <c r="J14" s="46"/>
      <c r="K14" s="46"/>
      <c r="L14" s="46"/>
      <c r="M14" s="46"/>
      <c r="N14" s="46"/>
      <c r="O14" s="46"/>
      <c r="P14" s="46"/>
      <c r="Q14" s="46"/>
      <c r="R14" s="46"/>
      <c r="S14" s="46"/>
      <c r="T14" s="46"/>
      <c r="U14" s="46"/>
      <c r="V14" s="46"/>
      <c r="W14" s="46"/>
      <c r="X14" s="46"/>
      <c r="Y14" s="46"/>
      <c r="Z14" s="46"/>
      <c r="AA14" s="46"/>
      <c r="AB14" s="46"/>
      <c r="AC14" s="46"/>
      <c r="AD14" s="46"/>
      <c r="AE14" s="46"/>
      <c r="AF14" s="46"/>
      <c r="AG14" s="46"/>
      <c r="AH14" s="46"/>
      <c r="AI14" s="46"/>
      <c r="AJ14" s="46"/>
      <c r="AK14" s="46"/>
      <c r="AL14" s="46"/>
      <c r="AM14" s="46"/>
      <c r="AN14" s="46"/>
      <c r="AO14" s="46"/>
      <c r="AP14" s="55"/>
    </row>
    <row r="15" spans="2:42" s="40" customFormat="1" ht="23.25" customHeight="1" x14ac:dyDescent="0.3">
      <c r="B15" s="56">
        <v>9</v>
      </c>
      <c r="C15" s="96">
        <v>0</v>
      </c>
      <c r="D15" s="58">
        <v>30</v>
      </c>
      <c r="E15" s="57">
        <v>16</v>
      </c>
      <c r="F15" s="53"/>
      <c r="G15" s="45"/>
      <c r="H15" s="46"/>
      <c r="I15" s="46"/>
      <c r="J15" s="46"/>
      <c r="K15" s="46"/>
      <c r="L15" s="46"/>
      <c r="M15" s="46"/>
      <c r="N15" s="46"/>
      <c r="O15" s="46"/>
      <c r="P15" s="46"/>
      <c r="Q15" s="46"/>
      <c r="R15" s="46"/>
      <c r="S15" s="46"/>
      <c r="T15" s="46"/>
      <c r="U15" s="46"/>
      <c r="V15" s="46"/>
      <c r="W15" s="46"/>
      <c r="X15" s="46"/>
      <c r="Y15" s="46"/>
      <c r="Z15" s="46"/>
      <c r="AA15" s="46"/>
      <c r="AB15" s="46"/>
      <c r="AC15" s="46"/>
      <c r="AD15" s="46"/>
      <c r="AE15" s="46"/>
      <c r="AF15" s="46"/>
      <c r="AG15" s="46"/>
      <c r="AH15" s="46"/>
      <c r="AI15" s="46"/>
      <c r="AJ15" s="46"/>
      <c r="AK15" s="46"/>
      <c r="AL15" s="46"/>
      <c r="AM15" s="46"/>
      <c r="AN15" s="46"/>
      <c r="AO15" s="46"/>
      <c r="AP15" s="55"/>
    </row>
    <row r="16" spans="2:42" s="40" customFormat="1" ht="23.25" customHeight="1" x14ac:dyDescent="0.3">
      <c r="B16" s="56">
        <v>10</v>
      </c>
      <c r="C16" s="96">
        <v>0</v>
      </c>
      <c r="D16" s="58">
        <v>31</v>
      </c>
      <c r="E16" s="57">
        <v>16</v>
      </c>
      <c r="F16" s="53"/>
      <c r="G16" s="45"/>
      <c r="H16" s="46"/>
      <c r="I16" s="46"/>
      <c r="J16" s="46"/>
      <c r="K16" s="46"/>
      <c r="L16" s="46"/>
      <c r="M16" s="46"/>
      <c r="N16" s="46"/>
      <c r="O16" s="46"/>
      <c r="P16" s="46"/>
      <c r="Q16" s="46"/>
      <c r="R16" s="46"/>
      <c r="S16" s="46"/>
      <c r="T16" s="46"/>
      <c r="U16" s="46"/>
      <c r="V16" s="46"/>
      <c r="W16" s="46"/>
      <c r="X16" s="46"/>
      <c r="Y16" s="46"/>
      <c r="Z16" s="46"/>
      <c r="AA16" s="46"/>
      <c r="AB16" s="46"/>
      <c r="AC16" s="46"/>
      <c r="AD16" s="46"/>
      <c r="AE16" s="46"/>
      <c r="AF16" s="46"/>
      <c r="AG16" s="46"/>
      <c r="AH16" s="46"/>
      <c r="AI16" s="46"/>
      <c r="AJ16" s="46"/>
      <c r="AK16" s="46"/>
      <c r="AL16" s="46"/>
      <c r="AM16" s="46"/>
      <c r="AN16" s="46"/>
      <c r="AO16" s="46"/>
      <c r="AP16" s="55"/>
    </row>
    <row r="17" spans="2:42" s="40" customFormat="1" ht="23.25" customHeight="1" x14ac:dyDescent="0.3">
      <c r="B17" s="56">
        <v>11</v>
      </c>
      <c r="C17" s="96">
        <v>0</v>
      </c>
      <c r="D17" s="58">
        <v>24</v>
      </c>
      <c r="E17" s="57">
        <v>12</v>
      </c>
      <c r="F17" s="53"/>
      <c r="G17" s="45"/>
      <c r="H17" s="46"/>
      <c r="I17" s="46"/>
      <c r="J17" s="46"/>
      <c r="K17" s="46"/>
      <c r="L17" s="46"/>
      <c r="M17" s="46"/>
      <c r="N17" s="46"/>
      <c r="O17" s="46"/>
      <c r="P17" s="46"/>
      <c r="Q17" s="46"/>
      <c r="R17" s="46"/>
      <c r="S17" s="46"/>
      <c r="T17" s="46"/>
      <c r="U17" s="46"/>
      <c r="V17" s="46"/>
      <c r="W17" s="46"/>
      <c r="X17" s="46"/>
      <c r="Y17" s="46"/>
      <c r="Z17" s="46"/>
      <c r="AA17" s="46"/>
      <c r="AB17" s="46"/>
      <c r="AC17" s="46"/>
      <c r="AD17" s="46"/>
      <c r="AE17" s="46"/>
      <c r="AF17" s="46"/>
      <c r="AG17" s="46"/>
      <c r="AH17" s="46"/>
      <c r="AI17" s="46"/>
      <c r="AJ17" s="46"/>
      <c r="AK17" s="46"/>
      <c r="AL17" s="46"/>
      <c r="AM17" s="46"/>
      <c r="AN17" s="46"/>
      <c r="AO17" s="46"/>
      <c r="AP17" s="55"/>
    </row>
    <row r="18" spans="2:42" s="40" customFormat="1" ht="23.25" customHeight="1" x14ac:dyDescent="0.3">
      <c r="B18" s="56">
        <v>12</v>
      </c>
      <c r="C18" s="96">
        <v>0</v>
      </c>
      <c r="D18" s="58">
        <v>26</v>
      </c>
      <c r="E18" s="57">
        <v>12</v>
      </c>
      <c r="F18" s="53"/>
      <c r="G18" s="45"/>
      <c r="H18" s="46"/>
      <c r="I18" s="46"/>
      <c r="J18" s="46"/>
      <c r="K18" s="46"/>
      <c r="L18" s="46"/>
      <c r="M18" s="46"/>
      <c r="N18" s="46"/>
      <c r="O18" s="46"/>
      <c r="P18" s="46"/>
      <c r="Q18" s="46"/>
      <c r="R18" s="46"/>
      <c r="S18" s="46"/>
      <c r="T18" s="46"/>
      <c r="U18" s="46"/>
      <c r="V18" s="46"/>
      <c r="W18" s="46"/>
      <c r="X18" s="46"/>
      <c r="Y18" s="46"/>
      <c r="Z18" s="46"/>
      <c r="AA18" s="46"/>
      <c r="AB18" s="46"/>
      <c r="AC18" s="46"/>
      <c r="AD18" s="46"/>
      <c r="AE18" s="46"/>
      <c r="AF18" s="46"/>
      <c r="AG18" s="46"/>
      <c r="AH18" s="46"/>
      <c r="AI18" s="46"/>
      <c r="AJ18" s="46"/>
      <c r="AK18" s="46"/>
      <c r="AL18" s="46"/>
      <c r="AM18" s="46"/>
      <c r="AN18" s="46"/>
      <c r="AO18" s="46"/>
      <c r="AP18" s="55"/>
    </row>
    <row r="19" spans="2:42" s="40" customFormat="1" ht="23.25" customHeight="1" x14ac:dyDescent="0.3">
      <c r="B19" s="56">
        <v>13</v>
      </c>
      <c r="C19" s="96">
        <v>0</v>
      </c>
      <c r="D19" s="58">
        <v>30</v>
      </c>
      <c r="E19" s="57">
        <v>16</v>
      </c>
      <c r="F19" s="53"/>
      <c r="G19" s="45"/>
      <c r="H19" s="46"/>
      <c r="I19" s="46"/>
      <c r="J19" s="46"/>
      <c r="K19" s="46"/>
      <c r="L19" s="46"/>
      <c r="M19" s="46"/>
      <c r="N19" s="46"/>
      <c r="O19" s="46"/>
      <c r="P19" s="46"/>
      <c r="Q19" s="46"/>
      <c r="R19" s="46"/>
      <c r="S19" s="46"/>
      <c r="T19" s="46"/>
      <c r="U19" s="46"/>
      <c r="V19" s="46"/>
      <c r="W19" s="46"/>
      <c r="X19" s="46"/>
      <c r="Y19" s="46"/>
      <c r="Z19" s="46"/>
      <c r="AA19" s="46"/>
      <c r="AB19" s="46"/>
      <c r="AC19" s="46"/>
      <c r="AD19" s="46"/>
      <c r="AE19" s="46"/>
      <c r="AF19" s="46"/>
      <c r="AG19" s="46"/>
      <c r="AH19" s="46"/>
      <c r="AI19" s="46"/>
      <c r="AJ19" s="46"/>
      <c r="AK19" s="46"/>
      <c r="AL19" s="46"/>
      <c r="AM19" s="46"/>
      <c r="AN19" s="46"/>
      <c r="AO19" s="46"/>
      <c r="AP19" s="55"/>
    </row>
    <row r="20" spans="2:42" s="40" customFormat="1" ht="23.25" customHeight="1" x14ac:dyDescent="0.3">
      <c r="B20" s="56">
        <v>14</v>
      </c>
      <c r="C20" s="96">
        <v>0</v>
      </c>
      <c r="D20" s="58">
        <v>30</v>
      </c>
      <c r="E20" s="57">
        <v>16</v>
      </c>
      <c r="F20" s="53"/>
      <c r="G20" s="45"/>
      <c r="H20" s="46"/>
      <c r="I20" s="46"/>
      <c r="J20" s="46"/>
      <c r="K20" s="46"/>
      <c r="L20" s="46"/>
      <c r="M20" s="46"/>
      <c r="N20" s="46"/>
      <c r="O20" s="46"/>
      <c r="P20" s="46"/>
      <c r="Q20" s="46"/>
      <c r="R20" s="46"/>
      <c r="S20" s="46"/>
      <c r="T20" s="46"/>
      <c r="U20" s="46"/>
      <c r="V20" s="46"/>
      <c r="W20" s="46"/>
      <c r="X20" s="46"/>
      <c r="Y20" s="46"/>
      <c r="Z20" s="46"/>
      <c r="AA20" s="46"/>
      <c r="AB20" s="46"/>
      <c r="AC20" s="46"/>
      <c r="AD20" s="46"/>
      <c r="AE20" s="46"/>
      <c r="AF20" s="46"/>
      <c r="AG20" s="46"/>
      <c r="AH20" s="46"/>
      <c r="AI20" s="46"/>
      <c r="AJ20" s="46"/>
      <c r="AK20" s="46"/>
      <c r="AL20" s="46"/>
      <c r="AM20" s="46"/>
      <c r="AN20" s="46"/>
      <c r="AO20" s="46"/>
      <c r="AP20" s="55"/>
    </row>
    <row r="21" spans="2:42" s="40" customFormat="1" ht="23.25" customHeight="1" x14ac:dyDescent="0.3">
      <c r="B21" s="56">
        <v>15</v>
      </c>
      <c r="C21" s="96">
        <v>0</v>
      </c>
      <c r="D21" s="58">
        <v>30</v>
      </c>
      <c r="E21" s="57">
        <v>16</v>
      </c>
      <c r="F21" s="53"/>
      <c r="G21" s="45"/>
      <c r="H21" s="46"/>
      <c r="I21" s="46"/>
      <c r="J21" s="46"/>
      <c r="K21" s="46"/>
      <c r="L21" s="46"/>
      <c r="M21" s="46"/>
      <c r="N21" s="46"/>
      <c r="O21" s="46"/>
      <c r="P21" s="46"/>
      <c r="Q21" s="46"/>
      <c r="R21" s="46"/>
      <c r="S21" s="46"/>
      <c r="T21" s="46"/>
      <c r="U21" s="46"/>
      <c r="V21" s="46"/>
      <c r="W21" s="46"/>
      <c r="X21" s="46"/>
      <c r="Y21" s="46"/>
      <c r="Z21" s="46"/>
      <c r="AA21" s="46"/>
      <c r="AB21" s="46"/>
      <c r="AC21" s="46"/>
      <c r="AD21" s="46"/>
      <c r="AE21" s="46"/>
      <c r="AF21" s="46"/>
      <c r="AG21" s="46"/>
      <c r="AH21" s="46"/>
      <c r="AI21" s="46"/>
      <c r="AJ21" s="46"/>
      <c r="AK21" s="46"/>
      <c r="AL21" s="46"/>
      <c r="AM21" s="46"/>
      <c r="AN21" s="46"/>
      <c r="AO21" s="46"/>
      <c r="AP21" s="55"/>
    </row>
    <row r="22" spans="2:42" s="40" customFormat="1" ht="23.25" customHeight="1" x14ac:dyDescent="0.3">
      <c r="B22" s="56">
        <v>16</v>
      </c>
      <c r="C22" s="96">
        <v>0</v>
      </c>
      <c r="D22" s="58">
        <v>30</v>
      </c>
      <c r="E22" s="57">
        <v>16</v>
      </c>
      <c r="F22" s="53"/>
      <c r="G22" s="45"/>
      <c r="H22" s="46"/>
      <c r="I22" s="46"/>
      <c r="J22" s="46"/>
      <c r="K22" s="46"/>
      <c r="L22" s="46"/>
      <c r="M22" s="46"/>
      <c r="N22" s="46"/>
      <c r="O22" s="46"/>
      <c r="P22" s="46"/>
      <c r="Q22" s="46"/>
      <c r="R22" s="46"/>
      <c r="S22" s="46"/>
      <c r="T22" s="46"/>
      <c r="U22" s="46"/>
      <c r="V22" s="46"/>
      <c r="W22" s="46"/>
      <c r="X22" s="46"/>
      <c r="Y22" s="46"/>
      <c r="Z22" s="46"/>
      <c r="AA22" s="46"/>
      <c r="AB22" s="46"/>
      <c r="AC22" s="46"/>
      <c r="AD22" s="46"/>
      <c r="AE22" s="46"/>
      <c r="AF22" s="46"/>
      <c r="AG22" s="46"/>
      <c r="AH22" s="46"/>
      <c r="AI22" s="46"/>
      <c r="AJ22" s="46"/>
      <c r="AK22" s="46"/>
      <c r="AL22" s="46"/>
      <c r="AM22" s="46"/>
      <c r="AN22" s="46"/>
      <c r="AO22" s="46"/>
      <c r="AP22" s="55"/>
    </row>
    <row r="23" spans="2:42" s="40" customFormat="1" ht="23.25" customHeight="1" x14ac:dyDescent="0.3">
      <c r="B23" s="56">
        <v>17</v>
      </c>
      <c r="C23" s="96">
        <v>0</v>
      </c>
      <c r="D23" s="58">
        <v>31</v>
      </c>
      <c r="E23" s="57">
        <v>16</v>
      </c>
      <c r="F23" s="53"/>
      <c r="G23" s="45"/>
      <c r="H23" s="46"/>
      <c r="I23" s="46"/>
      <c r="J23" s="46"/>
      <c r="K23" s="46"/>
      <c r="L23" s="46"/>
      <c r="M23" s="46"/>
      <c r="N23" s="46"/>
      <c r="O23" s="46"/>
      <c r="P23" s="46"/>
      <c r="Q23" s="46"/>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55"/>
    </row>
    <row r="24" spans="2:42" s="40" customFormat="1" ht="23.25" customHeight="1" x14ac:dyDescent="0.3">
      <c r="B24" s="56">
        <v>18</v>
      </c>
      <c r="C24" s="96">
        <v>0</v>
      </c>
      <c r="D24" s="58">
        <v>24</v>
      </c>
      <c r="E24" s="57">
        <v>12</v>
      </c>
      <c r="F24" s="53"/>
      <c r="G24" s="45"/>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55"/>
    </row>
    <row r="25" spans="2:42" s="40" customFormat="1" ht="23.25" customHeight="1" x14ac:dyDescent="0.3">
      <c r="B25" s="56">
        <v>19</v>
      </c>
      <c r="C25" s="96">
        <v>0</v>
      </c>
      <c r="D25" s="58">
        <v>25</v>
      </c>
      <c r="E25" s="57">
        <v>12</v>
      </c>
      <c r="F25" s="53"/>
      <c r="G25" s="45"/>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55"/>
    </row>
    <row r="26" spans="2:42" s="40" customFormat="1" ht="23.25" customHeight="1" x14ac:dyDescent="0.3">
      <c r="B26" s="56">
        <v>20</v>
      </c>
      <c r="C26" s="96">
        <v>0</v>
      </c>
      <c r="D26" s="58">
        <v>30</v>
      </c>
      <c r="E26" s="57">
        <v>16</v>
      </c>
      <c r="F26" s="53"/>
      <c r="G26" s="45"/>
      <c r="H26" s="46"/>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55"/>
    </row>
    <row r="27" spans="2:42" s="40" customFormat="1" ht="23.25" customHeight="1" x14ac:dyDescent="0.3">
      <c r="B27" s="56">
        <v>21</v>
      </c>
      <c r="C27" s="96">
        <v>0</v>
      </c>
      <c r="D27" s="58">
        <v>30</v>
      </c>
      <c r="E27" s="57">
        <v>16</v>
      </c>
      <c r="F27" s="53"/>
      <c r="G27" s="45"/>
      <c r="H27" s="46"/>
      <c r="I27" s="46"/>
      <c r="J27" s="46"/>
      <c r="K27" s="46"/>
      <c r="L27" s="46"/>
      <c r="M27" s="46"/>
      <c r="N27" s="46"/>
      <c r="O27" s="46"/>
      <c r="P27" s="46"/>
      <c r="Q27" s="46"/>
      <c r="R27" s="46"/>
      <c r="S27" s="46"/>
      <c r="T27" s="46"/>
      <c r="U27" s="46"/>
      <c r="V27" s="46"/>
      <c r="W27" s="46"/>
      <c r="X27" s="46"/>
      <c r="Y27" s="46"/>
      <c r="Z27" s="46"/>
      <c r="AA27" s="46"/>
      <c r="AB27" s="46"/>
      <c r="AC27" s="46"/>
      <c r="AD27" s="46"/>
      <c r="AE27" s="46"/>
      <c r="AF27" s="46"/>
      <c r="AG27" s="46"/>
      <c r="AH27" s="46"/>
      <c r="AI27" s="46"/>
      <c r="AJ27" s="46"/>
      <c r="AK27" s="46"/>
      <c r="AL27" s="46"/>
      <c r="AM27" s="46"/>
      <c r="AN27" s="46"/>
      <c r="AO27" s="46"/>
      <c r="AP27" s="55"/>
    </row>
    <row r="28" spans="2:42" s="40" customFormat="1" ht="23.25" customHeight="1" x14ac:dyDescent="0.3">
      <c r="B28" s="56">
        <v>22</v>
      </c>
      <c r="C28" s="96">
        <v>0</v>
      </c>
      <c r="D28" s="58">
        <v>30</v>
      </c>
      <c r="E28" s="57">
        <v>16</v>
      </c>
      <c r="F28" s="53"/>
      <c r="G28" s="45"/>
      <c r="H28" s="46"/>
      <c r="I28" s="46"/>
      <c r="J28" s="46"/>
      <c r="K28" s="46"/>
      <c r="L28" s="46"/>
      <c r="M28" s="46"/>
      <c r="N28" s="46"/>
      <c r="O28" s="46"/>
      <c r="P28" s="46"/>
      <c r="Q28" s="46"/>
      <c r="R28" s="46"/>
      <c r="S28" s="46"/>
      <c r="T28" s="46"/>
      <c r="U28" s="46"/>
      <c r="V28" s="46"/>
      <c r="W28" s="46"/>
      <c r="X28" s="46"/>
      <c r="Y28" s="46"/>
      <c r="Z28" s="46"/>
      <c r="AA28" s="46"/>
      <c r="AB28" s="46"/>
      <c r="AC28" s="46"/>
      <c r="AD28" s="46"/>
      <c r="AE28" s="46"/>
      <c r="AF28" s="46"/>
      <c r="AG28" s="46"/>
      <c r="AH28" s="46"/>
      <c r="AI28" s="46"/>
      <c r="AJ28" s="46"/>
      <c r="AK28" s="46"/>
      <c r="AL28" s="46"/>
      <c r="AM28" s="46"/>
      <c r="AN28" s="46"/>
      <c r="AO28" s="46"/>
      <c r="AP28" s="55"/>
    </row>
    <row r="29" spans="2:42" s="40" customFormat="1" ht="23.25" customHeight="1" x14ac:dyDescent="0.3">
      <c r="B29" s="56">
        <v>23</v>
      </c>
      <c r="C29" s="96">
        <v>0</v>
      </c>
      <c r="D29" s="58">
        <v>30</v>
      </c>
      <c r="E29" s="57">
        <v>16</v>
      </c>
      <c r="F29" s="53"/>
      <c r="G29" s="45"/>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55"/>
    </row>
    <row r="30" spans="2:42" s="40" customFormat="1" ht="23.25" customHeight="1" x14ac:dyDescent="0.3">
      <c r="B30" s="56">
        <v>24</v>
      </c>
      <c r="C30" s="96">
        <v>0</v>
      </c>
      <c r="D30" s="58">
        <v>31</v>
      </c>
      <c r="E30" s="57">
        <v>16</v>
      </c>
      <c r="F30" s="53"/>
      <c r="G30" s="45"/>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55"/>
    </row>
    <row r="31" spans="2:42" s="40" customFormat="1" ht="23.25" customHeight="1" x14ac:dyDescent="0.3">
      <c r="B31" s="56">
        <v>25</v>
      </c>
      <c r="C31" s="96">
        <v>0</v>
      </c>
      <c r="D31" s="58">
        <v>24</v>
      </c>
      <c r="E31" s="57">
        <v>12</v>
      </c>
      <c r="F31" s="53"/>
      <c r="G31" s="45"/>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55"/>
    </row>
    <row r="32" spans="2:42" s="40" customFormat="1" ht="23.25" customHeight="1" x14ac:dyDescent="0.3">
      <c r="B32" s="56">
        <v>26</v>
      </c>
      <c r="C32" s="96">
        <v>0</v>
      </c>
      <c r="D32" s="58">
        <v>26</v>
      </c>
      <c r="E32" s="57">
        <v>12</v>
      </c>
      <c r="F32" s="53"/>
      <c r="G32" s="45"/>
      <c r="H32" s="46"/>
      <c r="I32" s="46"/>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55"/>
    </row>
    <row r="33" spans="2:42" s="40" customFormat="1" ht="23.25" customHeight="1" x14ac:dyDescent="0.3">
      <c r="B33" s="56">
        <v>27</v>
      </c>
      <c r="C33" s="96">
        <v>0</v>
      </c>
      <c r="D33" s="58">
        <v>33</v>
      </c>
      <c r="E33" s="57">
        <v>16</v>
      </c>
      <c r="F33" s="53"/>
      <c r="G33" s="45"/>
      <c r="H33" s="46"/>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55"/>
    </row>
    <row r="34" spans="2:42" s="40" customFormat="1" ht="23.25" customHeight="1" x14ac:dyDescent="0.3">
      <c r="B34" s="56">
        <v>28</v>
      </c>
      <c r="C34" s="96">
        <v>0</v>
      </c>
      <c r="D34" s="58">
        <v>33</v>
      </c>
      <c r="E34" s="57">
        <v>16</v>
      </c>
      <c r="F34" s="53"/>
      <c r="G34" s="45"/>
      <c r="H34" s="46"/>
      <c r="I34" s="46"/>
      <c r="J34" s="46"/>
      <c r="K34" s="46"/>
      <c r="L34" s="46"/>
      <c r="M34" s="46"/>
      <c r="N34" s="46"/>
      <c r="O34" s="46"/>
      <c r="P34" s="46"/>
      <c r="Q34" s="46"/>
      <c r="R34" s="46"/>
      <c r="S34" s="46"/>
      <c r="T34" s="46"/>
      <c r="U34" s="46"/>
      <c r="V34" s="46"/>
      <c r="W34" s="46"/>
      <c r="X34" s="46"/>
      <c r="Y34" s="46"/>
      <c r="Z34" s="46"/>
      <c r="AA34" s="46"/>
      <c r="AB34" s="46"/>
      <c r="AC34" s="46"/>
      <c r="AD34" s="46"/>
      <c r="AE34" s="46"/>
      <c r="AF34" s="46"/>
      <c r="AG34" s="46"/>
      <c r="AH34" s="46"/>
      <c r="AI34" s="46"/>
      <c r="AJ34" s="46"/>
      <c r="AK34" s="46"/>
      <c r="AL34" s="46"/>
      <c r="AM34" s="46"/>
      <c r="AN34" s="46"/>
      <c r="AO34" s="46"/>
      <c r="AP34" s="55"/>
    </row>
    <row r="35" spans="2:42" s="40" customFormat="1" ht="23.25" customHeight="1" x14ac:dyDescent="0.3">
      <c r="B35" s="56">
        <v>29</v>
      </c>
      <c r="C35" s="96">
        <v>0</v>
      </c>
      <c r="D35" s="58">
        <v>33</v>
      </c>
      <c r="E35" s="57">
        <v>16</v>
      </c>
      <c r="F35" s="53"/>
      <c r="G35" s="45"/>
      <c r="H35" s="46"/>
      <c r="I35" s="46"/>
      <c r="J35" s="46"/>
      <c r="K35" s="46"/>
      <c r="L35" s="46"/>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55"/>
    </row>
    <row r="36" spans="2:42" s="40" customFormat="1" ht="23.25" customHeight="1" x14ac:dyDescent="0.3">
      <c r="B36" s="56">
        <v>30</v>
      </c>
      <c r="C36" s="96">
        <v>0</v>
      </c>
      <c r="D36" s="58">
        <v>33</v>
      </c>
      <c r="E36" s="57">
        <v>16</v>
      </c>
      <c r="F36" s="53"/>
      <c r="G36" s="45"/>
      <c r="H36" s="46"/>
      <c r="I36" s="46"/>
      <c r="J36" s="46"/>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55"/>
    </row>
    <row r="37" spans="2:42" s="40" customFormat="1" ht="23.25" customHeight="1" thickBot="1" x14ac:dyDescent="0.35">
      <c r="B37" s="89">
        <v>31</v>
      </c>
      <c r="C37" s="96">
        <v>0</v>
      </c>
      <c r="D37" s="90">
        <v>34</v>
      </c>
      <c r="E37" s="58">
        <v>16</v>
      </c>
      <c r="F37" s="53"/>
      <c r="G37" s="45"/>
      <c r="H37" s="46"/>
      <c r="I37" s="46"/>
      <c r="J37" s="46"/>
      <c r="K37" s="46"/>
      <c r="L37" s="46"/>
      <c r="M37" s="46"/>
      <c r="N37" s="4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55"/>
    </row>
    <row r="38" spans="2:42" s="40" customFormat="1" ht="23.25" customHeight="1" thickBot="1" x14ac:dyDescent="0.35">
      <c r="B38" s="92" t="s">
        <v>3</v>
      </c>
      <c r="C38" s="93">
        <f>SUM(C7:C37)</f>
        <v>0</v>
      </c>
      <c r="D38" s="93">
        <f>SUM(D7:D37)</f>
        <v>909</v>
      </c>
      <c r="E38" s="94">
        <f>SUM(E7:E37)</f>
        <v>464</v>
      </c>
      <c r="F38" s="53"/>
      <c r="G38" s="45"/>
      <c r="H38" s="46"/>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55"/>
    </row>
    <row r="39" spans="2:42" s="40" customFormat="1" ht="23.25" customHeight="1" x14ac:dyDescent="0.25">
      <c r="B39" s="37"/>
      <c r="C39" s="38"/>
      <c r="D39" s="38"/>
      <c r="E39" s="38"/>
      <c r="F39" s="53"/>
      <c r="G39" s="45"/>
      <c r="H39" s="46"/>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55"/>
    </row>
    <row r="40" spans="2:42" s="40" customFormat="1" ht="23.25" customHeight="1" thickBot="1" x14ac:dyDescent="0.3">
      <c r="B40" s="37"/>
      <c r="C40" s="38"/>
      <c r="D40" s="38"/>
      <c r="E40" s="38"/>
      <c r="G40" s="71"/>
      <c r="H40" s="73"/>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72"/>
    </row>
    <row r="41" spans="2:42" ht="17.399999999999999" x14ac:dyDescent="0.25">
      <c r="G41" s="40"/>
      <c r="H41" s="40"/>
    </row>
    <row r="42" spans="2:42" ht="17.399999999999999" x14ac:dyDescent="0.25">
      <c r="G42" s="40"/>
      <c r="H42" s="40"/>
    </row>
  </sheetData>
  <mergeCells count="13">
    <mergeCell ref="H7:H11"/>
    <mergeCell ref="B2:E2"/>
    <mergeCell ref="G2:AP2"/>
    <mergeCell ref="B3:E3"/>
    <mergeCell ref="B4:B6"/>
    <mergeCell ref="C4:E4"/>
    <mergeCell ref="C5:E5"/>
    <mergeCell ref="H5:AO6"/>
    <mergeCell ref="K7:AO7"/>
    <mergeCell ref="I8:J8"/>
    <mergeCell ref="I9:J9"/>
    <mergeCell ref="I10:J10"/>
    <mergeCell ref="I11:J11"/>
  </mergeCells>
  <pageMargins left="0.75" right="0.75" top="1" bottom="1" header="0" footer="0"/>
  <pageSetup paperSize="9" scale="26" orientation="landscape" horizontalDpi="300" verticalDpi="300"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D876F-7C42-4426-81DB-2572B440DCF7}">
  <sheetPr codeName="Hoja9">
    <pageSetUpPr fitToPage="1"/>
  </sheetPr>
  <dimension ref="B1:AP42"/>
  <sheetViews>
    <sheetView topLeftCell="B4" zoomScale="70" zoomScaleNormal="70" workbookViewId="0">
      <selection activeCell="K11" sqref="K11:AN11"/>
    </sheetView>
  </sheetViews>
  <sheetFormatPr baseColWidth="10" defaultColWidth="11.44140625" defaultRowHeight="13.2" x14ac:dyDescent="0.25"/>
  <cols>
    <col min="1" max="1" width="2.21875" style="38" customWidth="1"/>
    <col min="2" max="2" width="11.77734375" style="37" customWidth="1"/>
    <col min="3" max="5" width="12.77734375" style="38" customWidth="1"/>
    <col min="6" max="6" width="5.77734375" style="38" customWidth="1"/>
    <col min="7" max="7" width="6.21875" style="38" customWidth="1"/>
    <col min="8" max="8" width="4" style="38" customWidth="1"/>
    <col min="9" max="9" width="6.21875" style="38" customWidth="1"/>
    <col min="10" max="10" width="5" style="38" customWidth="1"/>
    <col min="11" max="11" width="5.77734375" style="38" customWidth="1"/>
    <col min="12" max="12" width="5" style="38" customWidth="1"/>
    <col min="13" max="31" width="3.77734375" style="38" customWidth="1"/>
    <col min="32" max="32" width="4.77734375" style="38" customWidth="1"/>
    <col min="33" max="33" width="3.77734375" style="38" customWidth="1"/>
    <col min="34" max="42" width="4.77734375" style="38" bestFit="1" customWidth="1"/>
    <col min="43" max="43" width="3.77734375" style="38" customWidth="1"/>
    <col min="44" max="44" width="7.77734375" style="38" customWidth="1"/>
    <col min="45" max="16384" width="11.44140625" style="38"/>
  </cols>
  <sheetData>
    <row r="1" spans="2:42" ht="11.25" customHeight="1" thickBot="1" x14ac:dyDescent="0.3"/>
    <row r="2" spans="2:42" ht="50.25" customHeight="1" thickBot="1" x14ac:dyDescent="0.3">
      <c r="B2" s="380" t="s">
        <v>88</v>
      </c>
      <c r="C2" s="380"/>
      <c r="D2" s="380"/>
      <c r="E2" s="380"/>
      <c r="G2" s="374" t="s">
        <v>6</v>
      </c>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6"/>
    </row>
    <row r="3" spans="2:42" ht="24" customHeight="1" x14ac:dyDescent="0.25">
      <c r="B3" s="379">
        <v>45017</v>
      </c>
      <c r="C3" s="379"/>
      <c r="D3" s="379"/>
      <c r="E3" s="379"/>
      <c r="F3" s="40"/>
      <c r="G3" s="41"/>
      <c r="H3" s="42"/>
      <c r="I3" s="42"/>
      <c r="J3" s="4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43"/>
    </row>
    <row r="4" spans="2:42" ht="33.75" customHeight="1" thickBot="1" x14ac:dyDescent="0.3">
      <c r="B4" s="377" t="s">
        <v>10</v>
      </c>
      <c r="C4" s="381" t="s">
        <v>7</v>
      </c>
      <c r="D4" s="381"/>
      <c r="E4" s="381"/>
      <c r="F4" s="40"/>
      <c r="G4" s="45"/>
      <c r="H4" s="46"/>
      <c r="I4" s="46"/>
      <c r="J4" s="46"/>
      <c r="K4" s="47"/>
      <c r="L4" s="47"/>
      <c r="M4" s="47"/>
      <c r="N4" s="47"/>
      <c r="O4" s="47"/>
      <c r="P4" s="47"/>
      <c r="Q4" s="47"/>
      <c r="R4" s="47"/>
      <c r="S4" s="47"/>
      <c r="T4" s="47"/>
      <c r="U4" s="47"/>
      <c r="V4" s="47"/>
      <c r="W4" s="47"/>
      <c r="X4" s="47"/>
      <c r="Y4" s="47"/>
      <c r="Z4" s="47"/>
      <c r="AA4" s="47"/>
      <c r="AB4" s="47"/>
      <c r="AC4" s="47"/>
      <c r="AD4" s="47"/>
      <c r="AE4" s="47"/>
      <c r="AF4" s="47"/>
      <c r="AG4" s="47"/>
      <c r="AH4" s="47"/>
      <c r="AI4" s="47"/>
      <c r="AJ4" s="47"/>
      <c r="AK4" s="47"/>
      <c r="AL4" s="47"/>
      <c r="AM4" s="47"/>
      <c r="AN4" s="47"/>
      <c r="AO4" s="47"/>
      <c r="AP4" s="48"/>
    </row>
    <row r="5" spans="2:42" ht="23.25" customHeight="1" x14ac:dyDescent="0.25">
      <c r="B5" s="377"/>
      <c r="C5" s="382" t="s">
        <v>9</v>
      </c>
      <c r="D5" s="382"/>
      <c r="E5" s="382"/>
      <c r="G5" s="49"/>
      <c r="H5" s="312" t="s">
        <v>8</v>
      </c>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4"/>
      <c r="AP5" s="48"/>
    </row>
    <row r="6" spans="2:42" ht="23.25" customHeight="1" thickBot="1" x14ac:dyDescent="0.3">
      <c r="B6" s="377" t="s">
        <v>89</v>
      </c>
      <c r="C6" s="50" t="s">
        <v>90</v>
      </c>
      <c r="D6" s="50" t="s">
        <v>91</v>
      </c>
      <c r="E6" s="50" t="s">
        <v>92</v>
      </c>
      <c r="G6" s="49"/>
      <c r="H6" s="373"/>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7"/>
      <c r="AP6" s="48"/>
    </row>
    <row r="7" spans="2:42" s="40" customFormat="1" ht="23.25" customHeight="1" x14ac:dyDescent="0.3">
      <c r="B7" s="95">
        <v>1</v>
      </c>
      <c r="C7" s="96">
        <v>0</v>
      </c>
      <c r="D7" s="51">
        <v>27</v>
      </c>
      <c r="E7" s="57">
        <v>12</v>
      </c>
      <c r="F7" s="53"/>
      <c r="G7" s="45"/>
      <c r="H7" s="383">
        <f>B3</f>
        <v>45017</v>
      </c>
      <c r="I7" s="54"/>
      <c r="J7" s="54"/>
      <c r="K7" s="365" t="s">
        <v>2</v>
      </c>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55"/>
    </row>
    <row r="8" spans="2:42" s="40" customFormat="1" ht="23.25" customHeight="1" x14ac:dyDescent="0.3">
      <c r="B8" s="56">
        <v>2</v>
      </c>
      <c r="C8" s="96">
        <v>0</v>
      </c>
      <c r="D8" s="58">
        <v>30</v>
      </c>
      <c r="E8" s="57">
        <v>12</v>
      </c>
      <c r="F8" s="53"/>
      <c r="G8" s="45"/>
      <c r="H8" s="384"/>
      <c r="I8" s="368"/>
      <c r="J8" s="368"/>
      <c r="K8" s="100">
        <v>1</v>
      </c>
      <c r="L8" s="100">
        <v>2</v>
      </c>
      <c r="M8" s="100">
        <v>3</v>
      </c>
      <c r="N8" s="100">
        <v>4</v>
      </c>
      <c r="O8" s="100">
        <v>5</v>
      </c>
      <c r="P8" s="100">
        <v>6</v>
      </c>
      <c r="Q8" s="100">
        <v>7</v>
      </c>
      <c r="R8" s="100">
        <v>8</v>
      </c>
      <c r="S8" s="100">
        <v>9</v>
      </c>
      <c r="T8" s="100">
        <v>10</v>
      </c>
      <c r="U8" s="100">
        <v>11</v>
      </c>
      <c r="V8" s="100">
        <v>12</v>
      </c>
      <c r="W8" s="100">
        <v>13</v>
      </c>
      <c r="X8" s="100">
        <v>14</v>
      </c>
      <c r="Y8" s="100">
        <v>15</v>
      </c>
      <c r="Z8" s="100">
        <v>16</v>
      </c>
      <c r="AA8" s="100">
        <v>17</v>
      </c>
      <c r="AB8" s="100">
        <v>18</v>
      </c>
      <c r="AC8" s="100">
        <v>19</v>
      </c>
      <c r="AD8" s="100">
        <v>20</v>
      </c>
      <c r="AE8" s="100">
        <v>21</v>
      </c>
      <c r="AF8" s="100">
        <v>22</v>
      </c>
      <c r="AG8" s="100">
        <v>23</v>
      </c>
      <c r="AH8" s="100">
        <v>24</v>
      </c>
      <c r="AI8" s="100">
        <v>25</v>
      </c>
      <c r="AJ8" s="100">
        <v>26</v>
      </c>
      <c r="AK8" s="100">
        <v>27</v>
      </c>
      <c r="AL8" s="100">
        <v>28</v>
      </c>
      <c r="AM8" s="100">
        <v>29</v>
      </c>
      <c r="AN8" s="100">
        <v>30</v>
      </c>
      <c r="AO8" s="100">
        <v>31</v>
      </c>
      <c r="AP8" s="55"/>
    </row>
    <row r="9" spans="2:42" s="40" customFormat="1" ht="23.25" customHeight="1" x14ac:dyDescent="0.3">
      <c r="B9" s="56">
        <v>3</v>
      </c>
      <c r="C9" s="96">
        <v>0</v>
      </c>
      <c r="D9" s="58">
        <v>33</v>
      </c>
      <c r="E9" s="57">
        <v>16</v>
      </c>
      <c r="F9" s="53"/>
      <c r="G9" s="45"/>
      <c r="H9" s="384"/>
      <c r="I9" s="378" t="s">
        <v>7</v>
      </c>
      <c r="J9" s="378"/>
      <c r="K9" s="61">
        <f t="array" ref="K9:AO9">TRANSPOSE(D7:D37)</f>
        <v>27</v>
      </c>
      <c r="L9" s="61">
        <v>30</v>
      </c>
      <c r="M9" s="61">
        <v>33</v>
      </c>
      <c r="N9" s="61">
        <v>33</v>
      </c>
      <c r="O9" s="61">
        <v>34</v>
      </c>
      <c r="P9" s="61">
        <v>32</v>
      </c>
      <c r="Q9" s="61">
        <v>30</v>
      </c>
      <c r="R9" s="61">
        <v>27</v>
      </c>
      <c r="S9" s="61">
        <v>30</v>
      </c>
      <c r="T9" s="61">
        <v>33</v>
      </c>
      <c r="U9" s="61">
        <v>33</v>
      </c>
      <c r="V9" s="61">
        <v>33</v>
      </c>
      <c r="W9" s="61">
        <v>33</v>
      </c>
      <c r="X9" s="61">
        <v>34</v>
      </c>
      <c r="Y9" s="61">
        <v>27</v>
      </c>
      <c r="Z9" s="61">
        <v>30</v>
      </c>
      <c r="AA9" s="61">
        <v>33</v>
      </c>
      <c r="AB9" s="61">
        <v>33</v>
      </c>
      <c r="AC9" s="61">
        <v>33</v>
      </c>
      <c r="AD9" s="61">
        <v>33</v>
      </c>
      <c r="AE9" s="61">
        <v>34</v>
      </c>
      <c r="AF9" s="61">
        <v>27</v>
      </c>
      <c r="AG9" s="61">
        <v>30</v>
      </c>
      <c r="AH9" s="61">
        <v>33</v>
      </c>
      <c r="AI9" s="61">
        <v>33</v>
      </c>
      <c r="AJ9" s="61">
        <v>33</v>
      </c>
      <c r="AK9" s="61">
        <v>35</v>
      </c>
      <c r="AL9" s="61">
        <v>38</v>
      </c>
      <c r="AM9" s="61">
        <v>31</v>
      </c>
      <c r="AN9" s="61">
        <v>33</v>
      </c>
      <c r="AO9" s="61">
        <v>0</v>
      </c>
      <c r="AP9" s="62" t="e">
        <f>SUM(#REF!)</f>
        <v>#REF!</v>
      </c>
    </row>
    <row r="10" spans="2:42" s="40" customFormat="1" ht="23.25" customHeight="1" x14ac:dyDescent="0.3">
      <c r="B10" s="56">
        <v>4</v>
      </c>
      <c r="C10" s="96">
        <v>0</v>
      </c>
      <c r="D10" s="58">
        <v>33</v>
      </c>
      <c r="E10" s="57">
        <v>16</v>
      </c>
      <c r="F10" s="53"/>
      <c r="G10" s="45"/>
      <c r="H10" s="384"/>
      <c r="I10" s="370" t="s">
        <v>11</v>
      </c>
      <c r="J10" s="370"/>
      <c r="K10" s="63">
        <f t="array" ref="K10:AO10">TRANSPOSE(E7:E37)</f>
        <v>12</v>
      </c>
      <c r="L10" s="63">
        <v>12</v>
      </c>
      <c r="M10" s="63">
        <v>16</v>
      </c>
      <c r="N10" s="63">
        <v>16</v>
      </c>
      <c r="O10" s="63">
        <v>16</v>
      </c>
      <c r="P10" s="63">
        <v>16</v>
      </c>
      <c r="Q10" s="63">
        <v>12</v>
      </c>
      <c r="R10" s="63">
        <v>12</v>
      </c>
      <c r="S10" s="63">
        <v>12</v>
      </c>
      <c r="T10" s="63">
        <v>16</v>
      </c>
      <c r="U10" s="63">
        <v>16</v>
      </c>
      <c r="V10" s="63">
        <v>16</v>
      </c>
      <c r="W10" s="63">
        <v>16</v>
      </c>
      <c r="X10" s="63">
        <v>16</v>
      </c>
      <c r="Y10" s="63">
        <v>12</v>
      </c>
      <c r="Z10" s="63">
        <v>12</v>
      </c>
      <c r="AA10" s="63">
        <v>16</v>
      </c>
      <c r="AB10" s="63">
        <v>16</v>
      </c>
      <c r="AC10" s="63">
        <v>16</v>
      </c>
      <c r="AD10" s="63">
        <v>16</v>
      </c>
      <c r="AE10" s="63">
        <v>16</v>
      </c>
      <c r="AF10" s="63">
        <v>12</v>
      </c>
      <c r="AG10" s="63">
        <v>12</v>
      </c>
      <c r="AH10" s="63">
        <v>16</v>
      </c>
      <c r="AI10" s="63">
        <v>16</v>
      </c>
      <c r="AJ10" s="63">
        <v>16</v>
      </c>
      <c r="AK10" s="63">
        <v>16</v>
      </c>
      <c r="AL10" s="63">
        <v>16</v>
      </c>
      <c r="AM10" s="63">
        <v>12</v>
      </c>
      <c r="AN10" s="63">
        <v>12</v>
      </c>
      <c r="AO10" s="63">
        <v>0</v>
      </c>
      <c r="AP10" s="55"/>
    </row>
    <row r="11" spans="2:42" s="40" customFormat="1" ht="23.25" customHeight="1" x14ac:dyDescent="0.3">
      <c r="B11" s="56">
        <v>5</v>
      </c>
      <c r="C11" s="96">
        <v>0</v>
      </c>
      <c r="D11" s="58">
        <v>34</v>
      </c>
      <c r="E11" s="57">
        <v>16</v>
      </c>
      <c r="F11" s="53"/>
      <c r="G11" s="45"/>
      <c r="H11" s="384"/>
      <c r="I11" s="372" t="s">
        <v>3</v>
      </c>
      <c r="J11" s="372"/>
      <c r="K11" s="101">
        <f>K9+K10</f>
        <v>39</v>
      </c>
      <c r="L11" s="101">
        <f t="shared" ref="L11:AO11" si="0">L9+L10</f>
        <v>42</v>
      </c>
      <c r="M11" s="101">
        <f t="shared" si="0"/>
        <v>49</v>
      </c>
      <c r="N11" s="101">
        <f t="shared" si="0"/>
        <v>49</v>
      </c>
      <c r="O11" s="101">
        <f t="shared" si="0"/>
        <v>50</v>
      </c>
      <c r="P11" s="101">
        <f t="shared" si="0"/>
        <v>48</v>
      </c>
      <c r="Q11" s="101">
        <f t="shared" si="0"/>
        <v>42</v>
      </c>
      <c r="R11" s="101">
        <f t="shared" si="0"/>
        <v>39</v>
      </c>
      <c r="S11" s="101">
        <f t="shared" si="0"/>
        <v>42</v>
      </c>
      <c r="T11" s="101">
        <f t="shared" si="0"/>
        <v>49</v>
      </c>
      <c r="U11" s="101">
        <f t="shared" si="0"/>
        <v>49</v>
      </c>
      <c r="V11" s="101">
        <f t="shared" si="0"/>
        <v>49</v>
      </c>
      <c r="W11" s="101">
        <f t="shared" si="0"/>
        <v>49</v>
      </c>
      <c r="X11" s="101">
        <f t="shared" si="0"/>
        <v>50</v>
      </c>
      <c r="Y11" s="101">
        <f t="shared" si="0"/>
        <v>39</v>
      </c>
      <c r="Z11" s="101">
        <f t="shared" si="0"/>
        <v>42</v>
      </c>
      <c r="AA11" s="101">
        <f t="shared" si="0"/>
        <v>49</v>
      </c>
      <c r="AB11" s="101">
        <f t="shared" si="0"/>
        <v>49</v>
      </c>
      <c r="AC11" s="101">
        <f t="shared" si="0"/>
        <v>49</v>
      </c>
      <c r="AD11" s="101">
        <f t="shared" si="0"/>
        <v>49</v>
      </c>
      <c r="AE11" s="101">
        <f t="shared" si="0"/>
        <v>50</v>
      </c>
      <c r="AF11" s="101">
        <f t="shared" si="0"/>
        <v>39</v>
      </c>
      <c r="AG11" s="101">
        <f t="shared" si="0"/>
        <v>42</v>
      </c>
      <c r="AH11" s="101">
        <f t="shared" si="0"/>
        <v>49</v>
      </c>
      <c r="AI11" s="101">
        <f t="shared" si="0"/>
        <v>49</v>
      </c>
      <c r="AJ11" s="101">
        <f t="shared" si="0"/>
        <v>49</v>
      </c>
      <c r="AK11" s="101">
        <f t="shared" si="0"/>
        <v>51</v>
      </c>
      <c r="AL11" s="101">
        <f t="shared" si="0"/>
        <v>54</v>
      </c>
      <c r="AM11" s="101">
        <f t="shared" si="0"/>
        <v>43</v>
      </c>
      <c r="AN11" s="101">
        <f t="shared" si="0"/>
        <v>45</v>
      </c>
      <c r="AO11" s="101">
        <f t="shared" si="0"/>
        <v>0</v>
      </c>
      <c r="AP11" s="55"/>
    </row>
    <row r="12" spans="2:42" s="40" customFormat="1" ht="23.25" customHeight="1" x14ac:dyDescent="0.3">
      <c r="B12" s="56">
        <v>6</v>
      </c>
      <c r="C12" s="96">
        <v>0</v>
      </c>
      <c r="D12" s="58">
        <v>32</v>
      </c>
      <c r="E12" s="57">
        <v>16</v>
      </c>
      <c r="F12" s="53"/>
      <c r="G12" s="45"/>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55"/>
    </row>
    <row r="13" spans="2:42" s="40" customFormat="1" ht="23.25" customHeight="1" x14ac:dyDescent="0.3">
      <c r="B13" s="56">
        <v>7</v>
      </c>
      <c r="C13" s="96">
        <v>0</v>
      </c>
      <c r="D13" s="58">
        <v>30</v>
      </c>
      <c r="E13" s="57">
        <v>12</v>
      </c>
      <c r="F13" s="53"/>
      <c r="G13" s="45"/>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55"/>
    </row>
    <row r="14" spans="2:42" s="40" customFormat="1" ht="23.25" customHeight="1" x14ac:dyDescent="0.3">
      <c r="B14" s="56">
        <v>8</v>
      </c>
      <c r="C14" s="96">
        <v>0</v>
      </c>
      <c r="D14" s="58">
        <v>27</v>
      </c>
      <c r="E14" s="57">
        <v>12</v>
      </c>
      <c r="F14" s="53"/>
      <c r="G14" s="45"/>
      <c r="H14" s="46"/>
      <c r="I14" s="46"/>
      <c r="J14" s="46"/>
      <c r="K14" s="46"/>
      <c r="L14" s="46"/>
      <c r="M14" s="46"/>
      <c r="N14" s="46"/>
      <c r="O14" s="46"/>
      <c r="P14" s="46"/>
      <c r="Q14" s="46"/>
      <c r="R14" s="46"/>
      <c r="S14" s="46"/>
      <c r="T14" s="46"/>
      <c r="U14" s="46"/>
      <c r="V14" s="46"/>
      <c r="W14" s="46"/>
      <c r="X14" s="46"/>
      <c r="Y14" s="46"/>
      <c r="Z14" s="46"/>
      <c r="AA14" s="46"/>
      <c r="AB14" s="46"/>
      <c r="AC14" s="46"/>
      <c r="AD14" s="46"/>
      <c r="AE14" s="46"/>
      <c r="AF14" s="46"/>
      <c r="AG14" s="46"/>
      <c r="AH14" s="46"/>
      <c r="AI14" s="46"/>
      <c r="AJ14" s="46"/>
      <c r="AK14" s="46"/>
      <c r="AL14" s="46"/>
      <c r="AM14" s="46"/>
      <c r="AN14" s="46"/>
      <c r="AO14" s="46"/>
      <c r="AP14" s="55"/>
    </row>
    <row r="15" spans="2:42" s="40" customFormat="1" ht="23.25" customHeight="1" x14ac:dyDescent="0.3">
      <c r="B15" s="56">
        <v>9</v>
      </c>
      <c r="C15" s="96">
        <v>0</v>
      </c>
      <c r="D15" s="58">
        <v>30</v>
      </c>
      <c r="E15" s="57">
        <v>12</v>
      </c>
      <c r="F15" s="53"/>
      <c r="G15" s="45"/>
      <c r="H15" s="46"/>
      <c r="I15" s="46"/>
      <c r="J15" s="46"/>
      <c r="K15" s="46"/>
      <c r="L15" s="46"/>
      <c r="M15" s="46"/>
      <c r="N15" s="46"/>
      <c r="O15" s="46"/>
      <c r="P15" s="46"/>
      <c r="Q15" s="46"/>
      <c r="R15" s="46"/>
      <c r="S15" s="46"/>
      <c r="T15" s="46"/>
      <c r="U15" s="46"/>
      <c r="V15" s="46"/>
      <c r="W15" s="46"/>
      <c r="X15" s="46"/>
      <c r="Y15" s="46"/>
      <c r="Z15" s="46"/>
      <c r="AA15" s="46"/>
      <c r="AB15" s="46"/>
      <c r="AC15" s="46"/>
      <c r="AD15" s="46"/>
      <c r="AE15" s="46"/>
      <c r="AF15" s="46"/>
      <c r="AG15" s="46"/>
      <c r="AH15" s="46"/>
      <c r="AI15" s="46"/>
      <c r="AJ15" s="46"/>
      <c r="AK15" s="46"/>
      <c r="AL15" s="46"/>
      <c r="AM15" s="46"/>
      <c r="AN15" s="46"/>
      <c r="AO15" s="46"/>
      <c r="AP15" s="55"/>
    </row>
    <row r="16" spans="2:42" s="40" customFormat="1" ht="23.25" customHeight="1" x14ac:dyDescent="0.3">
      <c r="B16" s="56">
        <v>10</v>
      </c>
      <c r="C16" s="96">
        <v>0</v>
      </c>
      <c r="D16" s="58">
        <v>33</v>
      </c>
      <c r="E16" s="57">
        <v>16</v>
      </c>
      <c r="F16" s="53"/>
      <c r="G16" s="45"/>
      <c r="H16" s="46"/>
      <c r="I16" s="46"/>
      <c r="J16" s="46"/>
      <c r="K16" s="46"/>
      <c r="L16" s="46"/>
      <c r="M16" s="46"/>
      <c r="N16" s="46"/>
      <c r="O16" s="46"/>
      <c r="P16" s="46"/>
      <c r="Q16" s="46"/>
      <c r="R16" s="46"/>
      <c r="S16" s="46"/>
      <c r="T16" s="46"/>
      <c r="U16" s="46"/>
      <c r="V16" s="46"/>
      <c r="W16" s="46"/>
      <c r="X16" s="46"/>
      <c r="Y16" s="46"/>
      <c r="Z16" s="46"/>
      <c r="AA16" s="46"/>
      <c r="AB16" s="46"/>
      <c r="AC16" s="46"/>
      <c r="AD16" s="46"/>
      <c r="AE16" s="46"/>
      <c r="AF16" s="46"/>
      <c r="AG16" s="46"/>
      <c r="AH16" s="46"/>
      <c r="AI16" s="46"/>
      <c r="AJ16" s="46"/>
      <c r="AK16" s="46"/>
      <c r="AL16" s="46"/>
      <c r="AM16" s="46"/>
      <c r="AN16" s="46"/>
      <c r="AO16" s="46"/>
      <c r="AP16" s="55"/>
    </row>
    <row r="17" spans="2:42" s="40" customFormat="1" ht="23.25" customHeight="1" x14ac:dyDescent="0.3">
      <c r="B17" s="56">
        <v>11</v>
      </c>
      <c r="C17" s="96">
        <v>0</v>
      </c>
      <c r="D17" s="58">
        <v>33</v>
      </c>
      <c r="E17" s="57">
        <v>16</v>
      </c>
      <c r="F17" s="53"/>
      <c r="G17" s="45"/>
      <c r="H17" s="46"/>
      <c r="I17" s="46"/>
      <c r="J17" s="46"/>
      <c r="K17" s="46"/>
      <c r="L17" s="46"/>
      <c r="M17" s="46"/>
      <c r="N17" s="46"/>
      <c r="O17" s="46"/>
      <c r="P17" s="46"/>
      <c r="Q17" s="46"/>
      <c r="R17" s="46"/>
      <c r="S17" s="46"/>
      <c r="T17" s="46"/>
      <c r="U17" s="46"/>
      <c r="V17" s="46"/>
      <c r="W17" s="46"/>
      <c r="X17" s="46"/>
      <c r="Y17" s="46"/>
      <c r="Z17" s="46"/>
      <c r="AA17" s="46"/>
      <c r="AB17" s="46"/>
      <c r="AC17" s="46"/>
      <c r="AD17" s="46"/>
      <c r="AE17" s="46"/>
      <c r="AF17" s="46"/>
      <c r="AG17" s="46"/>
      <c r="AH17" s="46"/>
      <c r="AI17" s="46"/>
      <c r="AJ17" s="46"/>
      <c r="AK17" s="46"/>
      <c r="AL17" s="46"/>
      <c r="AM17" s="46"/>
      <c r="AN17" s="46"/>
      <c r="AO17" s="46"/>
      <c r="AP17" s="55"/>
    </row>
    <row r="18" spans="2:42" s="40" customFormat="1" ht="23.25" customHeight="1" x14ac:dyDescent="0.3">
      <c r="B18" s="56">
        <v>12</v>
      </c>
      <c r="C18" s="96">
        <v>0</v>
      </c>
      <c r="D18" s="58">
        <v>33</v>
      </c>
      <c r="E18" s="57">
        <v>16</v>
      </c>
      <c r="F18" s="53"/>
      <c r="G18" s="45"/>
      <c r="H18" s="46"/>
      <c r="I18" s="46"/>
      <c r="J18" s="46"/>
      <c r="K18" s="46"/>
      <c r="L18" s="46"/>
      <c r="M18" s="46"/>
      <c r="N18" s="46"/>
      <c r="O18" s="46"/>
      <c r="P18" s="46"/>
      <c r="Q18" s="46"/>
      <c r="R18" s="46"/>
      <c r="S18" s="46"/>
      <c r="T18" s="46"/>
      <c r="U18" s="46"/>
      <c r="V18" s="46"/>
      <c r="W18" s="46"/>
      <c r="X18" s="46"/>
      <c r="Y18" s="46"/>
      <c r="Z18" s="46"/>
      <c r="AA18" s="46"/>
      <c r="AB18" s="46"/>
      <c r="AC18" s="46"/>
      <c r="AD18" s="46"/>
      <c r="AE18" s="46"/>
      <c r="AF18" s="46"/>
      <c r="AG18" s="46"/>
      <c r="AH18" s="46"/>
      <c r="AI18" s="46"/>
      <c r="AJ18" s="46"/>
      <c r="AK18" s="46"/>
      <c r="AL18" s="46"/>
      <c r="AM18" s="46"/>
      <c r="AN18" s="46"/>
      <c r="AO18" s="46"/>
      <c r="AP18" s="55"/>
    </row>
    <row r="19" spans="2:42" s="40" customFormat="1" ht="23.25" customHeight="1" x14ac:dyDescent="0.3">
      <c r="B19" s="56">
        <v>13</v>
      </c>
      <c r="C19" s="96">
        <v>0</v>
      </c>
      <c r="D19" s="58">
        <v>33</v>
      </c>
      <c r="E19" s="57">
        <v>16</v>
      </c>
      <c r="F19" s="53"/>
      <c r="G19" s="45"/>
      <c r="H19" s="46"/>
      <c r="I19" s="46"/>
      <c r="J19" s="46"/>
      <c r="K19" s="46"/>
      <c r="L19" s="46"/>
      <c r="M19" s="46"/>
      <c r="N19" s="46"/>
      <c r="O19" s="46"/>
      <c r="P19" s="46"/>
      <c r="Q19" s="46"/>
      <c r="R19" s="46"/>
      <c r="S19" s="46"/>
      <c r="T19" s="46"/>
      <c r="U19" s="46"/>
      <c r="V19" s="46"/>
      <c r="W19" s="46"/>
      <c r="X19" s="46"/>
      <c r="Y19" s="46"/>
      <c r="Z19" s="46"/>
      <c r="AA19" s="46"/>
      <c r="AB19" s="46"/>
      <c r="AC19" s="46"/>
      <c r="AD19" s="46"/>
      <c r="AE19" s="46"/>
      <c r="AF19" s="46"/>
      <c r="AG19" s="46"/>
      <c r="AH19" s="46"/>
      <c r="AI19" s="46"/>
      <c r="AJ19" s="46"/>
      <c r="AK19" s="46"/>
      <c r="AL19" s="46"/>
      <c r="AM19" s="46"/>
      <c r="AN19" s="46"/>
      <c r="AO19" s="46"/>
      <c r="AP19" s="55"/>
    </row>
    <row r="20" spans="2:42" s="40" customFormat="1" ht="23.25" customHeight="1" x14ac:dyDescent="0.3">
      <c r="B20" s="56">
        <v>14</v>
      </c>
      <c r="C20" s="96">
        <v>0</v>
      </c>
      <c r="D20" s="58">
        <v>34</v>
      </c>
      <c r="E20" s="57">
        <v>16</v>
      </c>
      <c r="F20" s="53"/>
      <c r="G20" s="45"/>
      <c r="H20" s="46"/>
      <c r="I20" s="46"/>
      <c r="J20" s="46"/>
      <c r="K20" s="46"/>
      <c r="L20" s="46"/>
      <c r="M20" s="46"/>
      <c r="N20" s="46"/>
      <c r="O20" s="46"/>
      <c r="P20" s="46"/>
      <c r="Q20" s="46"/>
      <c r="R20" s="46"/>
      <c r="S20" s="46"/>
      <c r="T20" s="46"/>
      <c r="U20" s="46"/>
      <c r="V20" s="46"/>
      <c r="W20" s="46"/>
      <c r="X20" s="46"/>
      <c r="Y20" s="46"/>
      <c r="Z20" s="46"/>
      <c r="AA20" s="46"/>
      <c r="AB20" s="46"/>
      <c r="AC20" s="46"/>
      <c r="AD20" s="46"/>
      <c r="AE20" s="46"/>
      <c r="AF20" s="46"/>
      <c r="AG20" s="46"/>
      <c r="AH20" s="46"/>
      <c r="AI20" s="46"/>
      <c r="AJ20" s="46"/>
      <c r="AK20" s="46"/>
      <c r="AL20" s="46"/>
      <c r="AM20" s="46"/>
      <c r="AN20" s="46"/>
      <c r="AO20" s="46"/>
      <c r="AP20" s="55"/>
    </row>
    <row r="21" spans="2:42" s="40" customFormat="1" ht="23.25" customHeight="1" x14ac:dyDescent="0.3">
      <c r="B21" s="56">
        <v>15</v>
      </c>
      <c r="C21" s="96">
        <v>0</v>
      </c>
      <c r="D21" s="58">
        <v>27</v>
      </c>
      <c r="E21" s="57">
        <v>12</v>
      </c>
      <c r="F21" s="53"/>
      <c r="G21" s="45"/>
      <c r="H21" s="46"/>
      <c r="I21" s="46"/>
      <c r="J21" s="46"/>
      <c r="K21" s="46"/>
      <c r="L21" s="46"/>
      <c r="M21" s="46"/>
      <c r="N21" s="46"/>
      <c r="O21" s="46"/>
      <c r="P21" s="46"/>
      <c r="Q21" s="46"/>
      <c r="R21" s="46"/>
      <c r="S21" s="46"/>
      <c r="T21" s="46"/>
      <c r="U21" s="46"/>
      <c r="V21" s="46"/>
      <c r="W21" s="46"/>
      <c r="X21" s="46"/>
      <c r="Y21" s="46"/>
      <c r="Z21" s="46"/>
      <c r="AA21" s="46"/>
      <c r="AB21" s="46"/>
      <c r="AC21" s="46"/>
      <c r="AD21" s="46"/>
      <c r="AE21" s="46"/>
      <c r="AF21" s="46"/>
      <c r="AG21" s="46"/>
      <c r="AH21" s="46"/>
      <c r="AI21" s="46"/>
      <c r="AJ21" s="46"/>
      <c r="AK21" s="46"/>
      <c r="AL21" s="46"/>
      <c r="AM21" s="46"/>
      <c r="AN21" s="46"/>
      <c r="AO21" s="46"/>
      <c r="AP21" s="55"/>
    </row>
    <row r="22" spans="2:42" s="40" customFormat="1" ht="23.25" customHeight="1" x14ac:dyDescent="0.3">
      <c r="B22" s="56">
        <v>16</v>
      </c>
      <c r="C22" s="96">
        <v>0</v>
      </c>
      <c r="D22" s="58">
        <v>30</v>
      </c>
      <c r="E22" s="57">
        <v>12</v>
      </c>
      <c r="F22" s="53"/>
      <c r="G22" s="45"/>
      <c r="H22" s="46"/>
      <c r="I22" s="46"/>
      <c r="J22" s="46"/>
      <c r="K22" s="46"/>
      <c r="L22" s="46"/>
      <c r="M22" s="46"/>
      <c r="N22" s="46"/>
      <c r="O22" s="46"/>
      <c r="P22" s="46"/>
      <c r="Q22" s="46"/>
      <c r="R22" s="46"/>
      <c r="S22" s="46"/>
      <c r="T22" s="46"/>
      <c r="U22" s="46"/>
      <c r="V22" s="46"/>
      <c r="W22" s="46"/>
      <c r="X22" s="46"/>
      <c r="Y22" s="46"/>
      <c r="Z22" s="46"/>
      <c r="AA22" s="46"/>
      <c r="AB22" s="46"/>
      <c r="AC22" s="46"/>
      <c r="AD22" s="46"/>
      <c r="AE22" s="46"/>
      <c r="AF22" s="46"/>
      <c r="AG22" s="46"/>
      <c r="AH22" s="46"/>
      <c r="AI22" s="46"/>
      <c r="AJ22" s="46"/>
      <c r="AK22" s="46"/>
      <c r="AL22" s="46"/>
      <c r="AM22" s="46"/>
      <c r="AN22" s="46"/>
      <c r="AO22" s="46"/>
      <c r="AP22" s="55"/>
    </row>
    <row r="23" spans="2:42" s="40" customFormat="1" ht="23.25" customHeight="1" x14ac:dyDescent="0.3">
      <c r="B23" s="56">
        <v>17</v>
      </c>
      <c r="C23" s="96">
        <v>0</v>
      </c>
      <c r="D23" s="58">
        <v>33</v>
      </c>
      <c r="E23" s="57">
        <v>16</v>
      </c>
      <c r="F23" s="53"/>
      <c r="G23" s="45"/>
      <c r="H23" s="46"/>
      <c r="I23" s="46"/>
      <c r="J23" s="46"/>
      <c r="K23" s="46"/>
      <c r="L23" s="46"/>
      <c r="M23" s="46"/>
      <c r="N23" s="46"/>
      <c r="O23" s="46"/>
      <c r="P23" s="46"/>
      <c r="Q23" s="46"/>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55"/>
    </row>
    <row r="24" spans="2:42" s="40" customFormat="1" ht="23.25" customHeight="1" x14ac:dyDescent="0.3">
      <c r="B24" s="56">
        <v>18</v>
      </c>
      <c r="C24" s="96">
        <v>0</v>
      </c>
      <c r="D24" s="58">
        <v>33</v>
      </c>
      <c r="E24" s="57">
        <v>16</v>
      </c>
      <c r="F24" s="53"/>
      <c r="G24" s="45"/>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55"/>
    </row>
    <row r="25" spans="2:42" s="40" customFormat="1" ht="23.25" customHeight="1" x14ac:dyDescent="0.3">
      <c r="B25" s="56">
        <v>19</v>
      </c>
      <c r="C25" s="96">
        <v>0</v>
      </c>
      <c r="D25" s="58">
        <v>33</v>
      </c>
      <c r="E25" s="57">
        <v>16</v>
      </c>
      <c r="F25" s="53"/>
      <c r="G25" s="45"/>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55"/>
    </row>
    <row r="26" spans="2:42" s="40" customFormat="1" ht="23.25" customHeight="1" x14ac:dyDescent="0.3">
      <c r="B26" s="56">
        <v>20</v>
      </c>
      <c r="C26" s="96">
        <v>0</v>
      </c>
      <c r="D26" s="58">
        <v>33</v>
      </c>
      <c r="E26" s="57">
        <v>16</v>
      </c>
      <c r="F26" s="53"/>
      <c r="G26" s="45"/>
      <c r="H26" s="46"/>
      <c r="I26" s="46"/>
      <c r="J26" s="46"/>
      <c r="K26" s="46"/>
      <c r="L26" s="46"/>
      <c r="M26" s="46"/>
      <c r="N26" s="46"/>
      <c r="O26" s="46"/>
      <c r="P26" s="46"/>
      <c r="Q26" s="46"/>
      <c r="R26" s="46"/>
      <c r="S26" s="46"/>
      <c r="T26" s="46"/>
      <c r="U26" s="46"/>
      <c r="V26" s="46"/>
      <c r="W26" s="46"/>
      <c r="X26" s="46"/>
      <c r="Y26" s="46"/>
      <c r="Z26" s="46"/>
      <c r="AA26" s="46"/>
      <c r="AB26" s="46"/>
      <c r="AC26" s="46"/>
      <c r="AD26" s="46"/>
      <c r="AE26" s="46"/>
      <c r="AF26" s="46"/>
      <c r="AG26" s="46"/>
      <c r="AH26" s="46"/>
      <c r="AI26" s="46"/>
      <c r="AJ26" s="46"/>
      <c r="AK26" s="46"/>
      <c r="AL26" s="46"/>
      <c r="AM26" s="46"/>
      <c r="AN26" s="46"/>
      <c r="AO26" s="46"/>
      <c r="AP26" s="55"/>
    </row>
    <row r="27" spans="2:42" s="40" customFormat="1" ht="23.25" customHeight="1" x14ac:dyDescent="0.3">
      <c r="B27" s="56">
        <v>21</v>
      </c>
      <c r="C27" s="96">
        <v>0</v>
      </c>
      <c r="D27" s="58">
        <v>34</v>
      </c>
      <c r="E27" s="57">
        <v>16</v>
      </c>
      <c r="F27" s="53"/>
      <c r="G27" s="45"/>
      <c r="H27" s="46"/>
      <c r="I27" s="46"/>
      <c r="J27" s="46"/>
      <c r="K27" s="46"/>
      <c r="L27" s="46"/>
      <c r="M27" s="46"/>
      <c r="N27" s="46"/>
      <c r="O27" s="46"/>
      <c r="P27" s="46"/>
      <c r="Q27" s="46"/>
      <c r="R27" s="46"/>
      <c r="S27" s="46"/>
      <c r="T27" s="46"/>
      <c r="U27" s="46"/>
      <c r="V27" s="46"/>
      <c r="W27" s="46"/>
      <c r="X27" s="46"/>
      <c r="Y27" s="46"/>
      <c r="Z27" s="46"/>
      <c r="AA27" s="46"/>
      <c r="AB27" s="46"/>
      <c r="AC27" s="46"/>
      <c r="AD27" s="46"/>
      <c r="AE27" s="46"/>
      <c r="AF27" s="46"/>
      <c r="AG27" s="46"/>
      <c r="AH27" s="46"/>
      <c r="AI27" s="46"/>
      <c r="AJ27" s="46"/>
      <c r="AK27" s="46"/>
      <c r="AL27" s="46"/>
      <c r="AM27" s="46"/>
      <c r="AN27" s="46"/>
      <c r="AO27" s="46"/>
      <c r="AP27" s="55"/>
    </row>
    <row r="28" spans="2:42" s="40" customFormat="1" ht="23.25" customHeight="1" x14ac:dyDescent="0.3">
      <c r="B28" s="56">
        <v>22</v>
      </c>
      <c r="C28" s="96">
        <v>0</v>
      </c>
      <c r="D28" s="58">
        <v>27</v>
      </c>
      <c r="E28" s="57">
        <v>12</v>
      </c>
      <c r="F28" s="53"/>
      <c r="G28" s="45"/>
      <c r="H28" s="46"/>
      <c r="I28" s="46"/>
      <c r="J28" s="46"/>
      <c r="K28" s="46"/>
      <c r="L28" s="46"/>
      <c r="M28" s="46"/>
      <c r="N28" s="46"/>
      <c r="O28" s="46"/>
      <c r="P28" s="46"/>
      <c r="Q28" s="46"/>
      <c r="R28" s="46"/>
      <c r="S28" s="46"/>
      <c r="T28" s="46"/>
      <c r="U28" s="46"/>
      <c r="V28" s="46"/>
      <c r="W28" s="46"/>
      <c r="X28" s="46"/>
      <c r="Y28" s="46"/>
      <c r="Z28" s="46"/>
      <c r="AA28" s="46"/>
      <c r="AB28" s="46"/>
      <c r="AC28" s="46"/>
      <c r="AD28" s="46"/>
      <c r="AE28" s="46"/>
      <c r="AF28" s="46"/>
      <c r="AG28" s="46"/>
      <c r="AH28" s="46"/>
      <c r="AI28" s="46"/>
      <c r="AJ28" s="46"/>
      <c r="AK28" s="46"/>
      <c r="AL28" s="46"/>
      <c r="AM28" s="46"/>
      <c r="AN28" s="46"/>
      <c r="AO28" s="46"/>
      <c r="AP28" s="55"/>
    </row>
    <row r="29" spans="2:42" s="40" customFormat="1" ht="23.25" customHeight="1" x14ac:dyDescent="0.3">
      <c r="B29" s="56">
        <v>23</v>
      </c>
      <c r="C29" s="96">
        <v>0</v>
      </c>
      <c r="D29" s="58">
        <v>30</v>
      </c>
      <c r="E29" s="57">
        <v>12</v>
      </c>
      <c r="F29" s="53"/>
      <c r="G29" s="45"/>
      <c r="H29" s="46"/>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55"/>
    </row>
    <row r="30" spans="2:42" s="40" customFormat="1" ht="23.25" customHeight="1" x14ac:dyDescent="0.3">
      <c r="B30" s="56">
        <v>24</v>
      </c>
      <c r="C30" s="96">
        <v>0</v>
      </c>
      <c r="D30" s="58">
        <v>33</v>
      </c>
      <c r="E30" s="57">
        <v>16</v>
      </c>
      <c r="F30" s="53"/>
      <c r="G30" s="45"/>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55"/>
    </row>
    <row r="31" spans="2:42" s="40" customFormat="1" ht="23.25" customHeight="1" x14ac:dyDescent="0.3">
      <c r="B31" s="56">
        <v>25</v>
      </c>
      <c r="C31" s="96">
        <v>0</v>
      </c>
      <c r="D31" s="58">
        <v>33</v>
      </c>
      <c r="E31" s="57">
        <v>16</v>
      </c>
      <c r="F31" s="53"/>
      <c r="G31" s="45"/>
      <c r="H31" s="46"/>
      <c r="I31" s="46"/>
      <c r="J31" s="46"/>
      <c r="K31" s="46"/>
      <c r="L31" s="46"/>
      <c r="M31" s="46"/>
      <c r="N31" s="46"/>
      <c r="O31" s="46"/>
      <c r="P31" s="46"/>
      <c r="Q31" s="46"/>
      <c r="R31" s="46"/>
      <c r="S31" s="46"/>
      <c r="T31" s="46"/>
      <c r="U31" s="46"/>
      <c r="V31" s="46"/>
      <c r="W31" s="46"/>
      <c r="X31" s="46"/>
      <c r="Y31" s="46"/>
      <c r="Z31" s="46"/>
      <c r="AA31" s="46"/>
      <c r="AB31" s="46"/>
      <c r="AC31" s="46"/>
      <c r="AD31" s="46"/>
      <c r="AE31" s="46"/>
      <c r="AF31" s="46"/>
      <c r="AG31" s="46"/>
      <c r="AH31" s="46"/>
      <c r="AI31" s="46"/>
      <c r="AJ31" s="46"/>
      <c r="AK31" s="46"/>
      <c r="AL31" s="46"/>
      <c r="AM31" s="46"/>
      <c r="AN31" s="46"/>
      <c r="AO31" s="46"/>
      <c r="AP31" s="55"/>
    </row>
    <row r="32" spans="2:42" s="40" customFormat="1" ht="23.25" customHeight="1" x14ac:dyDescent="0.3">
      <c r="B32" s="56">
        <v>26</v>
      </c>
      <c r="C32" s="96">
        <v>0</v>
      </c>
      <c r="D32" s="58">
        <v>33</v>
      </c>
      <c r="E32" s="57">
        <v>16</v>
      </c>
      <c r="F32" s="53"/>
      <c r="G32" s="45"/>
      <c r="H32" s="46"/>
      <c r="I32" s="46"/>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55"/>
    </row>
    <row r="33" spans="2:42" s="40" customFormat="1" ht="23.25" customHeight="1" x14ac:dyDescent="0.3">
      <c r="B33" s="56">
        <v>27</v>
      </c>
      <c r="C33" s="96">
        <v>0</v>
      </c>
      <c r="D33" s="58">
        <v>35</v>
      </c>
      <c r="E33" s="57">
        <v>16</v>
      </c>
      <c r="F33" s="53"/>
      <c r="G33" s="45"/>
      <c r="H33" s="46"/>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55"/>
    </row>
    <row r="34" spans="2:42" s="40" customFormat="1" ht="23.25" customHeight="1" x14ac:dyDescent="0.3">
      <c r="B34" s="56">
        <v>28</v>
      </c>
      <c r="C34" s="96">
        <v>0</v>
      </c>
      <c r="D34" s="58">
        <v>38</v>
      </c>
      <c r="E34" s="57">
        <v>16</v>
      </c>
      <c r="F34" s="53"/>
      <c r="G34" s="45"/>
      <c r="H34" s="46"/>
      <c r="I34" s="46"/>
      <c r="J34" s="46"/>
      <c r="K34" s="46"/>
      <c r="L34" s="46"/>
      <c r="M34" s="46"/>
      <c r="N34" s="46"/>
      <c r="O34" s="46"/>
      <c r="P34" s="46"/>
      <c r="Q34" s="46"/>
      <c r="R34" s="46"/>
      <c r="S34" s="46"/>
      <c r="T34" s="46"/>
      <c r="U34" s="46"/>
      <c r="V34" s="46"/>
      <c r="W34" s="46"/>
      <c r="X34" s="46"/>
      <c r="Y34" s="46"/>
      <c r="Z34" s="46"/>
      <c r="AA34" s="46"/>
      <c r="AB34" s="46"/>
      <c r="AC34" s="46"/>
      <c r="AD34" s="46"/>
      <c r="AE34" s="46"/>
      <c r="AF34" s="46"/>
      <c r="AG34" s="46"/>
      <c r="AH34" s="46"/>
      <c r="AI34" s="46"/>
      <c r="AJ34" s="46"/>
      <c r="AK34" s="46"/>
      <c r="AL34" s="46"/>
      <c r="AM34" s="46"/>
      <c r="AN34" s="46"/>
      <c r="AO34" s="46"/>
      <c r="AP34" s="55"/>
    </row>
    <row r="35" spans="2:42" s="40" customFormat="1" ht="23.25" customHeight="1" x14ac:dyDescent="0.3">
      <c r="B35" s="56">
        <v>29</v>
      </c>
      <c r="C35" s="96">
        <v>0</v>
      </c>
      <c r="D35" s="58">
        <v>31</v>
      </c>
      <c r="E35" s="57">
        <v>12</v>
      </c>
      <c r="F35" s="53"/>
      <c r="G35" s="45"/>
      <c r="H35" s="46"/>
      <c r="I35" s="46"/>
      <c r="J35" s="46"/>
      <c r="K35" s="46"/>
      <c r="L35" s="46"/>
      <c r="M35" s="46"/>
      <c r="N35" s="46"/>
      <c r="O35" s="46"/>
      <c r="P35" s="46"/>
      <c r="Q35" s="46"/>
      <c r="R35" s="46"/>
      <c r="S35" s="46"/>
      <c r="T35" s="46"/>
      <c r="U35" s="46"/>
      <c r="V35" s="46"/>
      <c r="W35" s="46"/>
      <c r="X35" s="46"/>
      <c r="Y35" s="46"/>
      <c r="Z35" s="46"/>
      <c r="AA35" s="46"/>
      <c r="AB35" s="46"/>
      <c r="AC35" s="46"/>
      <c r="AD35" s="46"/>
      <c r="AE35" s="46"/>
      <c r="AF35" s="46"/>
      <c r="AG35" s="46"/>
      <c r="AH35" s="46"/>
      <c r="AI35" s="46"/>
      <c r="AJ35" s="46"/>
      <c r="AK35" s="46"/>
      <c r="AL35" s="46"/>
      <c r="AM35" s="46"/>
      <c r="AN35" s="46"/>
      <c r="AO35" s="46"/>
      <c r="AP35" s="55"/>
    </row>
    <row r="36" spans="2:42" s="40" customFormat="1" ht="23.25" customHeight="1" x14ac:dyDescent="0.3">
      <c r="B36" s="56">
        <v>30</v>
      </c>
      <c r="C36" s="96">
        <v>0</v>
      </c>
      <c r="D36" s="58">
        <v>33</v>
      </c>
      <c r="E36" s="57">
        <v>12</v>
      </c>
      <c r="F36" s="53"/>
      <c r="G36" s="45"/>
      <c r="H36" s="46"/>
      <c r="I36" s="46"/>
      <c r="J36" s="46"/>
      <c r="K36" s="46"/>
      <c r="L36" s="46"/>
      <c r="M36" s="46"/>
      <c r="N36" s="46"/>
      <c r="O36" s="46"/>
      <c r="P36" s="46"/>
      <c r="Q36" s="46"/>
      <c r="R36" s="46"/>
      <c r="S36" s="46"/>
      <c r="T36" s="46"/>
      <c r="U36" s="46"/>
      <c r="V36" s="46"/>
      <c r="W36" s="46"/>
      <c r="X36" s="46"/>
      <c r="Y36" s="46"/>
      <c r="Z36" s="46"/>
      <c r="AA36" s="46"/>
      <c r="AB36" s="46"/>
      <c r="AC36" s="46"/>
      <c r="AD36" s="46"/>
      <c r="AE36" s="46"/>
      <c r="AF36" s="46"/>
      <c r="AG36" s="46"/>
      <c r="AH36" s="46"/>
      <c r="AI36" s="46"/>
      <c r="AJ36" s="46"/>
      <c r="AK36" s="46"/>
      <c r="AL36" s="46"/>
      <c r="AM36" s="46"/>
      <c r="AN36" s="46"/>
      <c r="AO36" s="46"/>
      <c r="AP36" s="55"/>
    </row>
    <row r="37" spans="2:42" s="40" customFormat="1" ht="23.25" customHeight="1" thickBot="1" x14ac:dyDescent="0.35">
      <c r="B37" s="89">
        <v>31</v>
      </c>
      <c r="C37" s="96">
        <v>0</v>
      </c>
      <c r="D37" s="90"/>
      <c r="E37" s="58"/>
      <c r="F37" s="53"/>
      <c r="G37" s="45"/>
      <c r="H37" s="46"/>
      <c r="I37" s="46"/>
      <c r="J37" s="46"/>
      <c r="K37" s="46"/>
      <c r="L37" s="46"/>
      <c r="M37" s="46"/>
      <c r="N37" s="46"/>
      <c r="O37" s="46"/>
      <c r="P37" s="46"/>
      <c r="Q37" s="46"/>
      <c r="R37" s="46"/>
      <c r="S37" s="46"/>
      <c r="T37" s="46"/>
      <c r="U37" s="46"/>
      <c r="V37" s="46"/>
      <c r="W37" s="46"/>
      <c r="X37" s="46"/>
      <c r="Y37" s="46"/>
      <c r="Z37" s="46"/>
      <c r="AA37" s="46"/>
      <c r="AB37" s="46"/>
      <c r="AC37" s="46"/>
      <c r="AD37" s="46"/>
      <c r="AE37" s="46"/>
      <c r="AF37" s="46"/>
      <c r="AG37" s="46"/>
      <c r="AH37" s="46"/>
      <c r="AI37" s="46"/>
      <c r="AJ37" s="46"/>
      <c r="AK37" s="46"/>
      <c r="AL37" s="46"/>
      <c r="AM37" s="46"/>
      <c r="AN37" s="46"/>
      <c r="AO37" s="46"/>
      <c r="AP37" s="55"/>
    </row>
    <row r="38" spans="2:42" s="40" customFormat="1" ht="23.25" customHeight="1" thickBot="1" x14ac:dyDescent="0.35">
      <c r="B38" s="92" t="s">
        <v>3</v>
      </c>
      <c r="C38" s="93">
        <f>SUM(C7:C37)</f>
        <v>0</v>
      </c>
      <c r="D38" s="93">
        <f>SUM(D7:D37)</f>
        <v>958</v>
      </c>
      <c r="E38" s="94">
        <f>SUM(E7:E37)</f>
        <v>436</v>
      </c>
      <c r="F38" s="53"/>
      <c r="G38" s="45"/>
      <c r="H38" s="46"/>
      <c r="I38" s="73"/>
      <c r="J38" s="73"/>
      <c r="K38" s="73"/>
      <c r="L38" s="73"/>
      <c r="M38" s="73"/>
      <c r="N38" s="73"/>
      <c r="O38" s="73"/>
      <c r="P38" s="73"/>
      <c r="Q38" s="73"/>
      <c r="R38" s="73"/>
      <c r="S38" s="73"/>
      <c r="T38" s="73"/>
      <c r="U38" s="73"/>
      <c r="V38" s="73"/>
      <c r="W38" s="73"/>
      <c r="X38" s="73"/>
      <c r="Y38" s="73"/>
      <c r="Z38" s="73"/>
      <c r="AA38" s="73"/>
      <c r="AB38" s="73"/>
      <c r="AC38" s="73"/>
      <c r="AD38" s="73"/>
      <c r="AE38" s="73"/>
      <c r="AF38" s="73"/>
      <c r="AG38" s="73"/>
      <c r="AH38" s="73"/>
      <c r="AI38" s="73"/>
      <c r="AJ38" s="73"/>
      <c r="AK38" s="73"/>
      <c r="AL38" s="73"/>
      <c r="AM38" s="73"/>
      <c r="AN38" s="73"/>
      <c r="AO38" s="73"/>
      <c r="AP38" s="55"/>
    </row>
    <row r="39" spans="2:42" s="40" customFormat="1" ht="23.25" customHeight="1" x14ac:dyDescent="0.25">
      <c r="B39" s="37"/>
      <c r="C39" s="38"/>
      <c r="D39" s="38"/>
      <c r="E39" s="38"/>
      <c r="F39" s="53"/>
      <c r="G39" s="45"/>
      <c r="H39" s="46"/>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55"/>
    </row>
    <row r="40" spans="2:42" s="40" customFormat="1" ht="23.25" customHeight="1" thickBot="1" x14ac:dyDescent="0.3">
      <c r="B40" s="37"/>
      <c r="C40" s="38"/>
      <c r="D40" s="38"/>
      <c r="E40" s="38"/>
      <c r="G40" s="71"/>
      <c r="H40" s="73"/>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72"/>
    </row>
    <row r="41" spans="2:42" ht="17.399999999999999" x14ac:dyDescent="0.25">
      <c r="G41" s="40"/>
      <c r="H41" s="40"/>
    </row>
    <row r="42" spans="2:42" ht="17.399999999999999" x14ac:dyDescent="0.25">
      <c r="G42" s="40"/>
      <c r="H42" s="40"/>
    </row>
  </sheetData>
  <mergeCells count="13">
    <mergeCell ref="B2:E2"/>
    <mergeCell ref="G2:AP2"/>
    <mergeCell ref="B3:E3"/>
    <mergeCell ref="B4:B6"/>
    <mergeCell ref="C4:E4"/>
    <mergeCell ref="C5:E5"/>
    <mergeCell ref="H5:AO6"/>
    <mergeCell ref="H7:H11"/>
    <mergeCell ref="K7:AO7"/>
    <mergeCell ref="I8:J8"/>
    <mergeCell ref="I9:J9"/>
    <mergeCell ref="I10:J10"/>
    <mergeCell ref="I11:J11"/>
  </mergeCells>
  <pageMargins left="0.75" right="0.75" top="1" bottom="1" header="0" footer="0"/>
  <pageSetup paperSize="9" scale="26" orientation="landscape" horizontalDpi="300" verticalDpi="300"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9282C-17D7-4172-AE81-FD91EB1CA68D}">
  <sheetPr codeName="Hoja10">
    <pageSetUpPr fitToPage="1"/>
  </sheetPr>
  <dimension ref="B1:AP42"/>
  <sheetViews>
    <sheetView zoomScale="70" zoomScaleNormal="70" workbookViewId="0">
      <selection activeCell="K11" sqref="K11:AO11"/>
    </sheetView>
  </sheetViews>
  <sheetFormatPr baseColWidth="10" defaultColWidth="11.44140625" defaultRowHeight="13.2" x14ac:dyDescent="0.25"/>
  <cols>
    <col min="1" max="1" width="2.21875" style="38" customWidth="1"/>
    <col min="2" max="2" width="11.77734375" style="37" customWidth="1"/>
    <col min="3" max="5" width="12.77734375" style="38" customWidth="1"/>
    <col min="6" max="6" width="5.77734375" style="38" customWidth="1"/>
    <col min="7" max="7" width="6.21875" style="38" customWidth="1"/>
    <col min="8" max="8" width="4" style="38" customWidth="1"/>
    <col min="9" max="9" width="6.21875" style="38" customWidth="1"/>
    <col min="10" max="10" width="5" style="38" customWidth="1"/>
    <col min="11" max="11" width="4.77734375" style="38" customWidth="1"/>
    <col min="12" max="12" width="5" style="38" customWidth="1"/>
    <col min="13" max="31" width="3.77734375" style="38" customWidth="1"/>
    <col min="32" max="32" width="4.77734375" style="38" customWidth="1"/>
    <col min="33" max="33" width="3.77734375" style="38" customWidth="1"/>
    <col min="34" max="42" width="4.77734375" style="38" bestFit="1" customWidth="1"/>
    <col min="43" max="43" width="3.77734375" style="38" customWidth="1"/>
    <col min="44" max="44" width="7.77734375" style="38" customWidth="1"/>
    <col min="45" max="16384" width="11.44140625" style="38"/>
  </cols>
  <sheetData>
    <row r="1" spans="2:42" ht="11.25" customHeight="1" thickBot="1" x14ac:dyDescent="0.3"/>
    <row r="2" spans="2:42" ht="50.25" customHeight="1" thickBot="1" x14ac:dyDescent="0.3">
      <c r="B2" s="380" t="s">
        <v>88</v>
      </c>
      <c r="C2" s="380"/>
      <c r="D2" s="380"/>
      <c r="E2" s="380"/>
      <c r="G2" s="374" t="s">
        <v>6</v>
      </c>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6"/>
    </row>
    <row r="3" spans="2:42" ht="24" customHeight="1" thickBot="1" x14ac:dyDescent="0.3">
      <c r="B3" s="379">
        <v>45047</v>
      </c>
      <c r="C3" s="379"/>
      <c r="D3" s="379"/>
      <c r="E3" s="379"/>
      <c r="F3" s="40"/>
      <c r="G3" s="41"/>
      <c r="H3" s="42"/>
      <c r="I3" s="42"/>
      <c r="J3" s="4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43"/>
    </row>
    <row r="4" spans="2:42" ht="33.75" customHeight="1" thickBot="1" x14ac:dyDescent="0.3">
      <c r="B4" s="377" t="s">
        <v>10</v>
      </c>
      <c r="C4" s="381" t="s">
        <v>7</v>
      </c>
      <c r="D4" s="381"/>
      <c r="E4" s="381"/>
      <c r="F4" s="40"/>
      <c r="G4" s="41"/>
      <c r="H4" s="42"/>
      <c r="I4" s="42"/>
      <c r="J4" s="42"/>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43"/>
    </row>
    <row r="5" spans="2:42" ht="23.25" customHeight="1" x14ac:dyDescent="0.25">
      <c r="B5" s="377"/>
      <c r="C5" s="382" t="s">
        <v>9</v>
      </c>
      <c r="D5" s="382"/>
      <c r="E5" s="382"/>
      <c r="G5" s="49"/>
      <c r="H5" s="312" t="s">
        <v>8</v>
      </c>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4"/>
      <c r="AP5" s="48"/>
    </row>
    <row r="6" spans="2:42" ht="23.25" customHeight="1" thickBot="1" x14ac:dyDescent="0.3">
      <c r="B6" s="377" t="s">
        <v>89</v>
      </c>
      <c r="C6" s="50" t="s">
        <v>90</v>
      </c>
      <c r="D6" s="50" t="s">
        <v>91</v>
      </c>
      <c r="E6" s="50" t="s">
        <v>92</v>
      </c>
      <c r="G6" s="49"/>
      <c r="H6" s="373"/>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7"/>
      <c r="AP6" s="48"/>
    </row>
    <row r="7" spans="2:42" s="40" customFormat="1" ht="23.25" customHeight="1" x14ac:dyDescent="0.3">
      <c r="B7" s="95">
        <v>1</v>
      </c>
      <c r="C7" s="96">
        <v>0</v>
      </c>
      <c r="D7" s="51">
        <v>35</v>
      </c>
      <c r="E7" s="57">
        <v>12</v>
      </c>
      <c r="F7" s="53"/>
      <c r="G7" s="45"/>
      <c r="H7" s="385">
        <f>B3</f>
        <v>45047</v>
      </c>
      <c r="I7" s="54"/>
      <c r="J7" s="54"/>
      <c r="K7" s="365" t="s">
        <v>2</v>
      </c>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55"/>
    </row>
    <row r="8" spans="2:42" s="40" customFormat="1" ht="23.25" customHeight="1" x14ac:dyDescent="0.3">
      <c r="B8" s="56">
        <v>2</v>
      </c>
      <c r="C8" s="96">
        <v>0</v>
      </c>
      <c r="D8" s="58">
        <v>36</v>
      </c>
      <c r="E8" s="57">
        <v>16</v>
      </c>
      <c r="F8" s="53"/>
      <c r="G8" s="45"/>
      <c r="H8" s="386"/>
      <c r="I8" s="367"/>
      <c r="J8" s="368"/>
      <c r="K8" s="100">
        <v>1</v>
      </c>
      <c r="L8" s="100">
        <v>2</v>
      </c>
      <c r="M8" s="100">
        <v>3</v>
      </c>
      <c r="N8" s="100">
        <v>4</v>
      </c>
      <c r="O8" s="100">
        <v>5</v>
      </c>
      <c r="P8" s="100">
        <v>6</v>
      </c>
      <c r="Q8" s="100">
        <v>7</v>
      </c>
      <c r="R8" s="100">
        <v>8</v>
      </c>
      <c r="S8" s="100">
        <v>9</v>
      </c>
      <c r="T8" s="100">
        <v>10</v>
      </c>
      <c r="U8" s="100">
        <v>11</v>
      </c>
      <c r="V8" s="100">
        <v>12</v>
      </c>
      <c r="W8" s="100">
        <v>13</v>
      </c>
      <c r="X8" s="100">
        <v>14</v>
      </c>
      <c r="Y8" s="100">
        <v>15</v>
      </c>
      <c r="Z8" s="100">
        <v>16</v>
      </c>
      <c r="AA8" s="100">
        <v>17</v>
      </c>
      <c r="AB8" s="100">
        <v>18</v>
      </c>
      <c r="AC8" s="100">
        <v>19</v>
      </c>
      <c r="AD8" s="100">
        <v>20</v>
      </c>
      <c r="AE8" s="100">
        <v>21</v>
      </c>
      <c r="AF8" s="100">
        <v>22</v>
      </c>
      <c r="AG8" s="100">
        <v>23</v>
      </c>
      <c r="AH8" s="100">
        <v>24</v>
      </c>
      <c r="AI8" s="100">
        <v>25</v>
      </c>
      <c r="AJ8" s="100">
        <v>26</v>
      </c>
      <c r="AK8" s="100">
        <v>27</v>
      </c>
      <c r="AL8" s="100">
        <v>28</v>
      </c>
      <c r="AM8" s="100">
        <v>29</v>
      </c>
      <c r="AN8" s="100">
        <v>30</v>
      </c>
      <c r="AO8" s="100">
        <v>31</v>
      </c>
      <c r="AP8" s="55"/>
    </row>
    <row r="9" spans="2:42" s="40" customFormat="1" ht="23.25" customHeight="1" x14ac:dyDescent="0.3">
      <c r="B9" s="56">
        <v>3</v>
      </c>
      <c r="C9" s="96">
        <v>0</v>
      </c>
      <c r="D9" s="58">
        <v>37</v>
      </c>
      <c r="E9" s="57">
        <v>16</v>
      </c>
      <c r="F9" s="53"/>
      <c r="G9" s="45"/>
      <c r="H9" s="386"/>
      <c r="I9" s="388" t="s">
        <v>7</v>
      </c>
      <c r="J9" s="378"/>
      <c r="K9" s="61">
        <f t="array" ref="K9:AO9">TRANSPOSE(D7:D37)</f>
        <v>35</v>
      </c>
      <c r="L9" s="61">
        <v>36</v>
      </c>
      <c r="M9" s="61">
        <v>37</v>
      </c>
      <c r="N9" s="61">
        <v>37</v>
      </c>
      <c r="O9" s="61">
        <v>38</v>
      </c>
      <c r="P9" s="61">
        <v>31</v>
      </c>
      <c r="Q9" s="61">
        <v>34</v>
      </c>
      <c r="R9" s="61">
        <v>37</v>
      </c>
      <c r="S9" s="61">
        <v>37</v>
      </c>
      <c r="T9" s="61">
        <v>37</v>
      </c>
      <c r="U9" s="61">
        <v>37</v>
      </c>
      <c r="V9" s="61">
        <v>38</v>
      </c>
      <c r="W9" s="61">
        <v>31</v>
      </c>
      <c r="X9" s="61">
        <v>34</v>
      </c>
      <c r="Y9" s="61">
        <v>36</v>
      </c>
      <c r="Z9" s="61">
        <v>37</v>
      </c>
      <c r="AA9" s="61">
        <v>37</v>
      </c>
      <c r="AB9" s="61">
        <v>37</v>
      </c>
      <c r="AC9" s="61">
        <v>38</v>
      </c>
      <c r="AD9" s="61">
        <v>33</v>
      </c>
      <c r="AE9" s="61">
        <v>34</v>
      </c>
      <c r="AF9" s="61">
        <v>37</v>
      </c>
      <c r="AG9" s="61">
        <v>37</v>
      </c>
      <c r="AH9" s="61">
        <v>37</v>
      </c>
      <c r="AI9" s="61">
        <v>37</v>
      </c>
      <c r="AJ9" s="61">
        <v>38</v>
      </c>
      <c r="AK9" s="61">
        <v>31</v>
      </c>
      <c r="AL9" s="61">
        <v>34</v>
      </c>
      <c r="AM9" s="61">
        <v>37</v>
      </c>
      <c r="AN9" s="61">
        <v>37</v>
      </c>
      <c r="AO9" s="61">
        <v>37</v>
      </c>
      <c r="AP9" s="62" t="e">
        <f>SUM(#REF!)</f>
        <v>#REF!</v>
      </c>
    </row>
    <row r="10" spans="2:42" s="40" customFormat="1" ht="23.25" customHeight="1" x14ac:dyDescent="0.3">
      <c r="B10" s="56">
        <v>4</v>
      </c>
      <c r="C10" s="96">
        <v>0</v>
      </c>
      <c r="D10" s="58">
        <v>37</v>
      </c>
      <c r="E10" s="57">
        <v>16</v>
      </c>
      <c r="F10" s="53"/>
      <c r="G10" s="45"/>
      <c r="H10" s="386"/>
      <c r="I10" s="369" t="s">
        <v>11</v>
      </c>
      <c r="J10" s="370"/>
      <c r="K10" s="63">
        <f t="array" ref="K10:AO10">TRANSPOSE(E7:E37)</f>
        <v>12</v>
      </c>
      <c r="L10" s="63">
        <v>16</v>
      </c>
      <c r="M10" s="63">
        <v>16</v>
      </c>
      <c r="N10" s="63">
        <v>16</v>
      </c>
      <c r="O10" s="63">
        <v>16</v>
      </c>
      <c r="P10" s="63">
        <v>12</v>
      </c>
      <c r="Q10" s="63">
        <v>12</v>
      </c>
      <c r="R10" s="63">
        <v>16</v>
      </c>
      <c r="S10" s="63">
        <v>16</v>
      </c>
      <c r="T10" s="63">
        <v>16</v>
      </c>
      <c r="U10" s="63">
        <v>16</v>
      </c>
      <c r="V10" s="63">
        <v>16</v>
      </c>
      <c r="W10" s="63">
        <v>12</v>
      </c>
      <c r="X10" s="63">
        <v>12</v>
      </c>
      <c r="Y10" s="63">
        <v>16</v>
      </c>
      <c r="Z10" s="63">
        <v>16</v>
      </c>
      <c r="AA10" s="63">
        <v>16</v>
      </c>
      <c r="AB10" s="63">
        <v>16</v>
      </c>
      <c r="AC10" s="63">
        <v>16</v>
      </c>
      <c r="AD10" s="63">
        <v>12</v>
      </c>
      <c r="AE10" s="63">
        <v>12</v>
      </c>
      <c r="AF10" s="63">
        <v>16</v>
      </c>
      <c r="AG10" s="63">
        <v>16</v>
      </c>
      <c r="AH10" s="63">
        <v>16</v>
      </c>
      <c r="AI10" s="63">
        <v>16</v>
      </c>
      <c r="AJ10" s="63">
        <v>16</v>
      </c>
      <c r="AK10" s="63">
        <v>12</v>
      </c>
      <c r="AL10" s="63">
        <v>12</v>
      </c>
      <c r="AM10" s="63">
        <v>16</v>
      </c>
      <c r="AN10" s="63">
        <v>16</v>
      </c>
      <c r="AO10" s="63">
        <v>16</v>
      </c>
      <c r="AP10" s="55"/>
    </row>
    <row r="11" spans="2:42" s="40" customFormat="1" ht="23.25" customHeight="1" thickBot="1" x14ac:dyDescent="0.35">
      <c r="B11" s="56">
        <v>5</v>
      </c>
      <c r="C11" s="96">
        <v>0</v>
      </c>
      <c r="D11" s="58">
        <v>38</v>
      </c>
      <c r="E11" s="57">
        <v>16</v>
      </c>
      <c r="F11" s="53"/>
      <c r="G11" s="45"/>
      <c r="H11" s="387"/>
      <c r="I11" s="371" t="s">
        <v>3</v>
      </c>
      <c r="J11" s="372"/>
      <c r="K11" s="101">
        <f>K9+K10</f>
        <v>47</v>
      </c>
      <c r="L11" s="101">
        <f t="shared" ref="L11:AO11" si="0">L9+L10</f>
        <v>52</v>
      </c>
      <c r="M11" s="101">
        <f t="shared" si="0"/>
        <v>53</v>
      </c>
      <c r="N11" s="101">
        <f t="shared" si="0"/>
        <v>53</v>
      </c>
      <c r="O11" s="101">
        <f t="shared" si="0"/>
        <v>54</v>
      </c>
      <c r="P11" s="101">
        <f t="shared" si="0"/>
        <v>43</v>
      </c>
      <c r="Q11" s="101">
        <f t="shared" si="0"/>
        <v>46</v>
      </c>
      <c r="R11" s="101">
        <f t="shared" si="0"/>
        <v>53</v>
      </c>
      <c r="S11" s="101">
        <f t="shared" si="0"/>
        <v>53</v>
      </c>
      <c r="T11" s="101">
        <f t="shared" si="0"/>
        <v>53</v>
      </c>
      <c r="U11" s="101">
        <f t="shared" si="0"/>
        <v>53</v>
      </c>
      <c r="V11" s="101">
        <f t="shared" si="0"/>
        <v>54</v>
      </c>
      <c r="W11" s="101">
        <f t="shared" si="0"/>
        <v>43</v>
      </c>
      <c r="X11" s="101">
        <f t="shared" si="0"/>
        <v>46</v>
      </c>
      <c r="Y11" s="101">
        <f t="shared" si="0"/>
        <v>52</v>
      </c>
      <c r="Z11" s="101">
        <f t="shared" si="0"/>
        <v>53</v>
      </c>
      <c r="AA11" s="101">
        <f t="shared" si="0"/>
        <v>53</v>
      </c>
      <c r="AB11" s="101">
        <f t="shared" si="0"/>
        <v>53</v>
      </c>
      <c r="AC11" s="101">
        <f t="shared" si="0"/>
        <v>54</v>
      </c>
      <c r="AD11" s="101">
        <f t="shared" si="0"/>
        <v>45</v>
      </c>
      <c r="AE11" s="101">
        <f t="shared" si="0"/>
        <v>46</v>
      </c>
      <c r="AF11" s="101">
        <f t="shared" si="0"/>
        <v>53</v>
      </c>
      <c r="AG11" s="101">
        <f t="shared" si="0"/>
        <v>53</v>
      </c>
      <c r="AH11" s="101">
        <f t="shared" si="0"/>
        <v>53</v>
      </c>
      <c r="AI11" s="101">
        <f t="shared" si="0"/>
        <v>53</v>
      </c>
      <c r="AJ11" s="101">
        <f t="shared" si="0"/>
        <v>54</v>
      </c>
      <c r="AK11" s="101">
        <f t="shared" si="0"/>
        <v>43</v>
      </c>
      <c r="AL11" s="101">
        <f t="shared" si="0"/>
        <v>46</v>
      </c>
      <c r="AM11" s="101">
        <f t="shared" si="0"/>
        <v>53</v>
      </c>
      <c r="AN11" s="101">
        <f t="shared" si="0"/>
        <v>53</v>
      </c>
      <c r="AO11" s="101">
        <f t="shared" si="0"/>
        <v>53</v>
      </c>
      <c r="AP11" s="55"/>
    </row>
    <row r="12" spans="2:42" s="40" customFormat="1" ht="23.25" customHeight="1" x14ac:dyDescent="0.3">
      <c r="B12" s="56">
        <v>6</v>
      </c>
      <c r="C12" s="96">
        <v>0</v>
      </c>
      <c r="D12" s="58">
        <v>31</v>
      </c>
      <c r="E12" s="57">
        <v>12</v>
      </c>
      <c r="F12" s="53"/>
      <c r="G12" s="45"/>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55"/>
    </row>
    <row r="13" spans="2:42" s="40" customFormat="1" ht="23.25" customHeight="1" thickBot="1" x14ac:dyDescent="0.35">
      <c r="B13" s="56">
        <v>7</v>
      </c>
      <c r="C13" s="96">
        <v>0</v>
      </c>
      <c r="D13" s="58">
        <v>34</v>
      </c>
      <c r="E13" s="57">
        <v>12</v>
      </c>
      <c r="F13" s="53"/>
      <c r="G13" s="71"/>
      <c r="H13" s="73"/>
      <c r="I13" s="73"/>
      <c r="J13" s="73"/>
      <c r="K13" s="73"/>
      <c r="L13" s="73"/>
      <c r="M13" s="73"/>
      <c r="N13" s="73"/>
      <c r="O13" s="73"/>
      <c r="P13" s="73"/>
      <c r="Q13" s="73"/>
      <c r="R13" s="73"/>
      <c r="S13" s="73"/>
      <c r="T13" s="73"/>
      <c r="U13" s="73"/>
      <c r="V13" s="73"/>
      <c r="W13" s="73"/>
      <c r="X13" s="73"/>
      <c r="Y13" s="73"/>
      <c r="Z13" s="73"/>
      <c r="AA13" s="73"/>
      <c r="AB13" s="73"/>
      <c r="AC13" s="73"/>
      <c r="AD13" s="73"/>
      <c r="AE13" s="73"/>
      <c r="AF13" s="73"/>
      <c r="AG13" s="73"/>
      <c r="AH13" s="73"/>
      <c r="AI13" s="73"/>
      <c r="AJ13" s="73"/>
      <c r="AK13" s="73"/>
      <c r="AL13" s="73"/>
      <c r="AM13" s="73"/>
      <c r="AN13" s="73"/>
      <c r="AO13" s="73"/>
      <c r="AP13" s="72"/>
    </row>
    <row r="14" spans="2:42" s="40" customFormat="1" ht="23.25" customHeight="1" x14ac:dyDescent="0.3">
      <c r="B14" s="56">
        <v>8</v>
      </c>
      <c r="C14" s="96">
        <v>0</v>
      </c>
      <c r="D14" s="58">
        <v>37</v>
      </c>
      <c r="E14" s="57">
        <v>16</v>
      </c>
      <c r="F14" s="53"/>
    </row>
    <row r="15" spans="2:42" s="40" customFormat="1" ht="23.25" customHeight="1" x14ac:dyDescent="0.3">
      <c r="B15" s="56">
        <v>9</v>
      </c>
      <c r="C15" s="96">
        <v>0</v>
      </c>
      <c r="D15" s="58">
        <v>37</v>
      </c>
      <c r="E15" s="57">
        <v>16</v>
      </c>
      <c r="F15" s="53"/>
    </row>
    <row r="16" spans="2:42" s="40" customFormat="1" ht="23.25" customHeight="1" x14ac:dyDescent="0.3">
      <c r="B16" s="56">
        <v>10</v>
      </c>
      <c r="C16" s="96">
        <v>0</v>
      </c>
      <c r="D16" s="58">
        <v>37</v>
      </c>
      <c r="E16" s="57">
        <v>16</v>
      </c>
      <c r="F16" s="53"/>
    </row>
    <row r="17" spans="2:6" s="40" customFormat="1" ht="23.25" customHeight="1" x14ac:dyDescent="0.3">
      <c r="B17" s="56">
        <v>11</v>
      </c>
      <c r="C17" s="96">
        <v>0</v>
      </c>
      <c r="D17" s="58">
        <v>37</v>
      </c>
      <c r="E17" s="57">
        <v>16</v>
      </c>
      <c r="F17" s="53"/>
    </row>
    <row r="18" spans="2:6" s="40" customFormat="1" ht="23.25" customHeight="1" x14ac:dyDescent="0.3">
      <c r="B18" s="56">
        <v>12</v>
      </c>
      <c r="C18" s="96">
        <v>0</v>
      </c>
      <c r="D18" s="58">
        <v>38</v>
      </c>
      <c r="E18" s="57">
        <v>16</v>
      </c>
      <c r="F18" s="53"/>
    </row>
    <row r="19" spans="2:6" s="40" customFormat="1" ht="23.25" customHeight="1" x14ac:dyDescent="0.3">
      <c r="B19" s="56">
        <v>13</v>
      </c>
      <c r="C19" s="96">
        <v>0</v>
      </c>
      <c r="D19" s="58">
        <v>31</v>
      </c>
      <c r="E19" s="57">
        <v>12</v>
      </c>
      <c r="F19" s="53"/>
    </row>
    <row r="20" spans="2:6" s="40" customFormat="1" ht="23.25" customHeight="1" x14ac:dyDescent="0.3">
      <c r="B20" s="56">
        <v>14</v>
      </c>
      <c r="C20" s="96">
        <v>0</v>
      </c>
      <c r="D20" s="58">
        <v>34</v>
      </c>
      <c r="E20" s="57">
        <v>12</v>
      </c>
      <c r="F20" s="53"/>
    </row>
    <row r="21" spans="2:6" s="40" customFormat="1" ht="23.25" customHeight="1" x14ac:dyDescent="0.3">
      <c r="B21" s="56">
        <v>15</v>
      </c>
      <c r="C21" s="96">
        <v>0</v>
      </c>
      <c r="D21" s="58">
        <v>36</v>
      </c>
      <c r="E21" s="57">
        <v>16</v>
      </c>
      <c r="F21" s="53"/>
    </row>
    <row r="22" spans="2:6" s="40" customFormat="1" ht="23.25" customHeight="1" x14ac:dyDescent="0.3">
      <c r="B22" s="56">
        <v>16</v>
      </c>
      <c r="C22" s="96">
        <v>0</v>
      </c>
      <c r="D22" s="58">
        <v>37</v>
      </c>
      <c r="E22" s="57">
        <v>16</v>
      </c>
      <c r="F22" s="53"/>
    </row>
    <row r="23" spans="2:6" s="40" customFormat="1" ht="23.25" customHeight="1" x14ac:dyDescent="0.3">
      <c r="B23" s="56">
        <v>17</v>
      </c>
      <c r="C23" s="96">
        <v>0</v>
      </c>
      <c r="D23" s="58">
        <v>37</v>
      </c>
      <c r="E23" s="57">
        <v>16</v>
      </c>
      <c r="F23" s="53"/>
    </row>
    <row r="24" spans="2:6" s="40" customFormat="1" ht="23.25" customHeight="1" x14ac:dyDescent="0.3">
      <c r="B24" s="56">
        <v>18</v>
      </c>
      <c r="C24" s="96">
        <v>0</v>
      </c>
      <c r="D24" s="58">
        <v>37</v>
      </c>
      <c r="E24" s="57">
        <v>16</v>
      </c>
      <c r="F24" s="53"/>
    </row>
    <row r="25" spans="2:6" s="40" customFormat="1" ht="23.25" customHeight="1" x14ac:dyDescent="0.3">
      <c r="B25" s="56">
        <v>19</v>
      </c>
      <c r="C25" s="96">
        <v>0</v>
      </c>
      <c r="D25" s="58">
        <v>38</v>
      </c>
      <c r="E25" s="57">
        <v>16</v>
      </c>
      <c r="F25" s="53"/>
    </row>
    <row r="26" spans="2:6" s="40" customFormat="1" ht="23.25" customHeight="1" x14ac:dyDescent="0.3">
      <c r="B26" s="56">
        <v>20</v>
      </c>
      <c r="C26" s="96">
        <v>0</v>
      </c>
      <c r="D26" s="58">
        <v>33</v>
      </c>
      <c r="E26" s="57">
        <v>12</v>
      </c>
      <c r="F26" s="53"/>
    </row>
    <row r="27" spans="2:6" s="40" customFormat="1" ht="23.25" customHeight="1" x14ac:dyDescent="0.3">
      <c r="B27" s="56">
        <v>21</v>
      </c>
      <c r="C27" s="96">
        <v>0</v>
      </c>
      <c r="D27" s="58">
        <v>34</v>
      </c>
      <c r="E27" s="57">
        <v>12</v>
      </c>
      <c r="F27" s="53"/>
    </row>
    <row r="28" spans="2:6" s="40" customFormat="1" ht="23.25" customHeight="1" x14ac:dyDescent="0.3">
      <c r="B28" s="56">
        <v>22</v>
      </c>
      <c r="C28" s="96">
        <v>0</v>
      </c>
      <c r="D28" s="58">
        <v>37</v>
      </c>
      <c r="E28" s="57">
        <v>16</v>
      </c>
      <c r="F28" s="53"/>
    </row>
    <row r="29" spans="2:6" s="40" customFormat="1" ht="23.25" customHeight="1" x14ac:dyDescent="0.3">
      <c r="B29" s="56">
        <v>23</v>
      </c>
      <c r="C29" s="96">
        <v>0</v>
      </c>
      <c r="D29" s="58">
        <v>37</v>
      </c>
      <c r="E29" s="57">
        <v>16</v>
      </c>
      <c r="F29" s="53"/>
    </row>
    <row r="30" spans="2:6" s="40" customFormat="1" ht="23.25" customHeight="1" x14ac:dyDescent="0.3">
      <c r="B30" s="56">
        <v>24</v>
      </c>
      <c r="C30" s="96">
        <v>0</v>
      </c>
      <c r="D30" s="58">
        <v>37</v>
      </c>
      <c r="E30" s="57">
        <v>16</v>
      </c>
      <c r="F30" s="53"/>
    </row>
    <row r="31" spans="2:6" s="40" customFormat="1" ht="23.25" customHeight="1" x14ac:dyDescent="0.3">
      <c r="B31" s="56">
        <v>25</v>
      </c>
      <c r="C31" s="96">
        <v>0</v>
      </c>
      <c r="D31" s="58">
        <v>37</v>
      </c>
      <c r="E31" s="57">
        <v>16</v>
      </c>
      <c r="F31" s="53"/>
    </row>
    <row r="32" spans="2:6" s="40" customFormat="1" ht="23.25" customHeight="1" x14ac:dyDescent="0.3">
      <c r="B32" s="56">
        <v>26</v>
      </c>
      <c r="C32" s="96">
        <v>0</v>
      </c>
      <c r="D32" s="58">
        <v>38</v>
      </c>
      <c r="E32" s="57">
        <v>16</v>
      </c>
      <c r="F32" s="53"/>
    </row>
    <row r="33" spans="2:8" s="40" customFormat="1" ht="23.25" customHeight="1" x14ac:dyDescent="0.3">
      <c r="B33" s="56">
        <v>27</v>
      </c>
      <c r="C33" s="96">
        <v>0</v>
      </c>
      <c r="D33" s="58">
        <v>31</v>
      </c>
      <c r="E33" s="57">
        <v>12</v>
      </c>
      <c r="F33" s="53"/>
    </row>
    <row r="34" spans="2:8" s="40" customFormat="1" ht="23.25" customHeight="1" x14ac:dyDescent="0.3">
      <c r="B34" s="56">
        <v>28</v>
      </c>
      <c r="C34" s="96">
        <v>0</v>
      </c>
      <c r="D34" s="58">
        <v>34</v>
      </c>
      <c r="E34" s="57">
        <v>12</v>
      </c>
      <c r="F34" s="53"/>
    </row>
    <row r="35" spans="2:8" s="40" customFormat="1" ht="23.25" customHeight="1" x14ac:dyDescent="0.3">
      <c r="B35" s="56">
        <v>29</v>
      </c>
      <c r="C35" s="96">
        <v>0</v>
      </c>
      <c r="D35" s="58">
        <v>37</v>
      </c>
      <c r="E35" s="57">
        <v>16</v>
      </c>
      <c r="F35" s="53"/>
    </row>
    <row r="36" spans="2:8" s="40" customFormat="1" ht="23.25" customHeight="1" x14ac:dyDescent="0.3">
      <c r="B36" s="56">
        <v>30</v>
      </c>
      <c r="C36" s="96">
        <v>0</v>
      </c>
      <c r="D36" s="58">
        <v>37</v>
      </c>
      <c r="E36" s="57">
        <v>16</v>
      </c>
      <c r="F36" s="53"/>
    </row>
    <row r="37" spans="2:8" s="40" customFormat="1" ht="23.25" customHeight="1" thickBot="1" x14ac:dyDescent="0.35">
      <c r="B37" s="89">
        <v>31</v>
      </c>
      <c r="C37" s="96">
        <v>0</v>
      </c>
      <c r="D37" s="90">
        <v>37</v>
      </c>
      <c r="E37" s="58">
        <v>16</v>
      </c>
      <c r="F37" s="53"/>
    </row>
    <row r="38" spans="2:8" s="40" customFormat="1" ht="23.25" customHeight="1" thickBot="1" x14ac:dyDescent="0.35">
      <c r="B38" s="92" t="s">
        <v>3</v>
      </c>
      <c r="C38" s="93">
        <f>SUM(C7:C37)</f>
        <v>0</v>
      </c>
      <c r="D38" s="93">
        <f>SUM(D7:D37)</f>
        <v>1113</v>
      </c>
      <c r="E38" s="94">
        <f>SUM(E7:E37)</f>
        <v>460</v>
      </c>
      <c r="F38" s="53"/>
    </row>
    <row r="39" spans="2:8" s="40" customFormat="1" ht="23.25" customHeight="1" x14ac:dyDescent="0.25">
      <c r="B39" s="37"/>
      <c r="C39" s="38"/>
      <c r="D39" s="38"/>
      <c r="E39" s="38"/>
      <c r="F39" s="53"/>
    </row>
    <row r="40" spans="2:8" s="40" customFormat="1" ht="23.25" customHeight="1" x14ac:dyDescent="0.25">
      <c r="B40" s="37"/>
      <c r="C40" s="38"/>
      <c r="D40" s="38"/>
      <c r="E40" s="38"/>
    </row>
    <row r="41" spans="2:8" ht="17.399999999999999" x14ac:dyDescent="0.25">
      <c r="G41" s="40"/>
      <c r="H41" s="40"/>
    </row>
    <row r="42" spans="2:8" ht="17.399999999999999" x14ac:dyDescent="0.25">
      <c r="G42" s="40"/>
      <c r="H42" s="40"/>
    </row>
  </sheetData>
  <mergeCells count="13">
    <mergeCell ref="B2:E2"/>
    <mergeCell ref="G2:AP2"/>
    <mergeCell ref="B3:E3"/>
    <mergeCell ref="B4:B6"/>
    <mergeCell ref="C4:E4"/>
    <mergeCell ref="C5:E5"/>
    <mergeCell ref="H5:AO6"/>
    <mergeCell ref="H7:H11"/>
    <mergeCell ref="K7:AO7"/>
    <mergeCell ref="I8:J8"/>
    <mergeCell ref="I9:J9"/>
    <mergeCell ref="I10:J10"/>
    <mergeCell ref="I11:J11"/>
  </mergeCells>
  <pageMargins left="0.75" right="0.75" top="1" bottom="1" header="0" footer="0"/>
  <pageSetup paperSize="9" scale="26" orientation="landscape" horizontalDpi="300" verticalDpi="300"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760D75-9428-406B-88B3-BB7535B504E1}">
  <sheetPr codeName="Hoja11">
    <pageSetUpPr fitToPage="1"/>
  </sheetPr>
  <dimension ref="B1:AQ42"/>
  <sheetViews>
    <sheetView zoomScale="70" zoomScaleNormal="70" workbookViewId="0">
      <selection activeCell="G28" sqref="G28"/>
    </sheetView>
  </sheetViews>
  <sheetFormatPr baseColWidth="10" defaultColWidth="11.44140625" defaultRowHeight="13.2" x14ac:dyDescent="0.25"/>
  <cols>
    <col min="1" max="1" width="2.21875" style="38" customWidth="1"/>
    <col min="2" max="2" width="11.77734375" style="37" customWidth="1"/>
    <col min="3" max="5" width="12.77734375" style="38" customWidth="1"/>
    <col min="6" max="6" width="5.77734375" style="38" customWidth="1"/>
    <col min="7" max="7" width="6.21875" style="38" customWidth="1"/>
    <col min="8" max="8" width="4" style="38" customWidth="1"/>
    <col min="9" max="9" width="6.21875" style="38" customWidth="1"/>
    <col min="10" max="10" width="5" style="38" customWidth="1"/>
    <col min="11" max="11" width="4.77734375" style="38" customWidth="1"/>
    <col min="12" max="12" width="5" style="38" customWidth="1"/>
    <col min="13" max="31" width="3.77734375" style="38" customWidth="1"/>
    <col min="32" max="32" width="4.77734375" style="38" customWidth="1"/>
    <col min="33" max="33" width="3.77734375" style="38" customWidth="1"/>
    <col min="34" max="42" width="4.77734375" style="38" bestFit="1" customWidth="1"/>
    <col min="43" max="43" width="3.77734375" style="38" customWidth="1"/>
    <col min="44" max="44" width="7.77734375" style="38" customWidth="1"/>
    <col min="45" max="16384" width="11.44140625" style="38"/>
  </cols>
  <sheetData>
    <row r="1" spans="2:43" ht="11.25" customHeight="1" thickBot="1" x14ac:dyDescent="0.3"/>
    <row r="2" spans="2:43" ht="50.25" customHeight="1" thickBot="1" x14ac:dyDescent="0.3">
      <c r="B2" s="380" t="s">
        <v>88</v>
      </c>
      <c r="C2" s="380"/>
      <c r="D2" s="380"/>
      <c r="E2" s="380"/>
      <c r="G2" s="374" t="s">
        <v>6</v>
      </c>
      <c r="H2" s="375"/>
      <c r="I2" s="375"/>
      <c r="J2" s="375"/>
      <c r="K2" s="375"/>
      <c r="L2" s="375"/>
      <c r="M2" s="375"/>
      <c r="N2" s="375"/>
      <c r="O2" s="375"/>
      <c r="P2" s="375"/>
      <c r="Q2" s="375"/>
      <c r="R2" s="375"/>
      <c r="S2" s="375"/>
      <c r="T2" s="375"/>
      <c r="U2" s="375"/>
      <c r="V2" s="375"/>
      <c r="W2" s="375"/>
      <c r="X2" s="375"/>
      <c r="Y2" s="375"/>
      <c r="Z2" s="375"/>
      <c r="AA2" s="375"/>
      <c r="AB2" s="375"/>
      <c r="AC2" s="375"/>
      <c r="AD2" s="375"/>
      <c r="AE2" s="375"/>
      <c r="AF2" s="375"/>
      <c r="AG2" s="375"/>
      <c r="AH2" s="375"/>
      <c r="AI2" s="375"/>
      <c r="AJ2" s="375"/>
      <c r="AK2" s="375"/>
      <c r="AL2" s="375"/>
      <c r="AM2" s="375"/>
      <c r="AN2" s="375"/>
      <c r="AO2" s="375"/>
      <c r="AP2" s="376"/>
    </row>
    <row r="3" spans="2:43" ht="24" customHeight="1" thickBot="1" x14ac:dyDescent="0.3">
      <c r="B3" s="379">
        <v>45078</v>
      </c>
      <c r="C3" s="379"/>
      <c r="D3" s="379"/>
      <c r="E3" s="379"/>
      <c r="F3" s="40"/>
      <c r="G3" s="41"/>
      <c r="H3" s="42"/>
      <c r="I3" s="42"/>
      <c r="J3" s="4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43"/>
    </row>
    <row r="4" spans="2:43" ht="33.75" customHeight="1" thickBot="1" x14ac:dyDescent="0.3">
      <c r="B4" s="377" t="s">
        <v>10</v>
      </c>
      <c r="C4" s="381" t="s">
        <v>7</v>
      </c>
      <c r="D4" s="381"/>
      <c r="E4" s="381"/>
      <c r="F4" s="40"/>
      <c r="G4" s="41"/>
      <c r="H4" s="42"/>
      <c r="I4" s="42"/>
      <c r="J4" s="42"/>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43"/>
    </row>
    <row r="5" spans="2:43" ht="23.25" customHeight="1" x14ac:dyDescent="0.25">
      <c r="B5" s="377"/>
      <c r="C5" s="382" t="s">
        <v>9</v>
      </c>
      <c r="D5" s="382"/>
      <c r="E5" s="382"/>
      <c r="G5" s="49"/>
      <c r="H5" s="312" t="s">
        <v>8</v>
      </c>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4"/>
      <c r="AP5" s="48"/>
    </row>
    <row r="6" spans="2:43" ht="23.25" customHeight="1" thickBot="1" x14ac:dyDescent="0.3">
      <c r="B6" s="377" t="s">
        <v>89</v>
      </c>
      <c r="C6" s="50" t="s">
        <v>90</v>
      </c>
      <c r="D6" s="50" t="s">
        <v>91</v>
      </c>
      <c r="E6" s="50" t="s">
        <v>11</v>
      </c>
      <c r="G6" s="49"/>
      <c r="H6" s="373"/>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7"/>
      <c r="AP6" s="48"/>
    </row>
    <row r="7" spans="2:43" s="40" customFormat="1" ht="23.25" customHeight="1" x14ac:dyDescent="0.3">
      <c r="B7" s="95">
        <v>1</v>
      </c>
      <c r="C7" s="96">
        <v>0</v>
      </c>
      <c r="D7" s="51">
        <v>37</v>
      </c>
      <c r="E7" s="57">
        <v>16</v>
      </c>
      <c r="F7" s="53"/>
      <c r="G7" s="45"/>
      <c r="H7" s="385">
        <f>B3</f>
        <v>45078</v>
      </c>
      <c r="I7" s="54"/>
      <c r="J7" s="54"/>
      <c r="K7" s="365" t="s">
        <v>2</v>
      </c>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55"/>
    </row>
    <row r="8" spans="2:43" s="40" customFormat="1" ht="23.25" customHeight="1" x14ac:dyDescent="0.3">
      <c r="B8" s="56">
        <v>2</v>
      </c>
      <c r="C8" s="96">
        <v>0</v>
      </c>
      <c r="D8" s="58">
        <v>42</v>
      </c>
      <c r="E8" s="57">
        <v>16</v>
      </c>
      <c r="F8" s="53"/>
      <c r="G8" s="45"/>
      <c r="H8" s="386"/>
      <c r="I8" s="367"/>
      <c r="J8" s="368"/>
      <c r="K8" s="100">
        <v>1</v>
      </c>
      <c r="L8" s="100">
        <v>2</v>
      </c>
      <c r="M8" s="100">
        <v>3</v>
      </c>
      <c r="N8" s="100">
        <v>4</v>
      </c>
      <c r="O8" s="100">
        <v>5</v>
      </c>
      <c r="P8" s="100">
        <v>6</v>
      </c>
      <c r="Q8" s="100">
        <v>7</v>
      </c>
      <c r="R8" s="100">
        <v>8</v>
      </c>
      <c r="S8" s="100">
        <v>9</v>
      </c>
      <c r="T8" s="100">
        <v>10</v>
      </c>
      <c r="U8" s="100">
        <v>11</v>
      </c>
      <c r="V8" s="100">
        <v>12</v>
      </c>
      <c r="W8" s="100">
        <v>13</v>
      </c>
      <c r="X8" s="100">
        <v>14</v>
      </c>
      <c r="Y8" s="100">
        <v>15</v>
      </c>
      <c r="Z8" s="100">
        <v>16</v>
      </c>
      <c r="AA8" s="100">
        <v>17</v>
      </c>
      <c r="AB8" s="100">
        <v>18</v>
      </c>
      <c r="AC8" s="100">
        <v>19</v>
      </c>
      <c r="AD8" s="100">
        <v>20</v>
      </c>
      <c r="AE8" s="100">
        <v>21</v>
      </c>
      <c r="AF8" s="100">
        <v>22</v>
      </c>
      <c r="AG8" s="100">
        <v>23</v>
      </c>
      <c r="AH8" s="100">
        <v>24</v>
      </c>
      <c r="AI8" s="100">
        <v>25</v>
      </c>
      <c r="AJ8" s="100">
        <v>26</v>
      </c>
      <c r="AK8" s="100">
        <v>27</v>
      </c>
      <c r="AL8" s="100">
        <v>28</v>
      </c>
      <c r="AM8" s="100">
        <v>29</v>
      </c>
      <c r="AN8" s="100">
        <v>30</v>
      </c>
      <c r="AO8" s="100">
        <v>31</v>
      </c>
      <c r="AP8" s="55"/>
    </row>
    <row r="9" spans="2:43" s="40" customFormat="1" ht="23.25" customHeight="1" x14ac:dyDescent="0.3">
      <c r="B9" s="56">
        <v>3</v>
      </c>
      <c r="C9" s="96">
        <v>0</v>
      </c>
      <c r="D9" s="58">
        <v>35</v>
      </c>
      <c r="E9" s="57">
        <v>12</v>
      </c>
      <c r="F9" s="53"/>
      <c r="G9" s="45"/>
      <c r="H9" s="386"/>
      <c r="I9" s="388" t="s">
        <v>7</v>
      </c>
      <c r="J9" s="378"/>
      <c r="K9" s="61">
        <f t="array" ref="K9:AO9">TRANSPOSE(D7:D37)</f>
        <v>37</v>
      </c>
      <c r="L9" s="61">
        <v>42</v>
      </c>
      <c r="M9" s="61">
        <v>35</v>
      </c>
      <c r="N9" s="61">
        <v>38</v>
      </c>
      <c r="O9" s="61">
        <v>41</v>
      </c>
      <c r="P9" s="61">
        <v>41</v>
      </c>
      <c r="Q9" s="61">
        <v>41</v>
      </c>
      <c r="R9" s="61">
        <v>41</v>
      </c>
      <c r="S9" s="61">
        <v>42</v>
      </c>
      <c r="T9" s="61">
        <v>35</v>
      </c>
      <c r="U9" s="61">
        <v>38</v>
      </c>
      <c r="V9" s="61">
        <v>41</v>
      </c>
      <c r="W9" s="61">
        <v>41</v>
      </c>
      <c r="X9" s="61">
        <v>41</v>
      </c>
      <c r="Y9" s="61">
        <v>41</v>
      </c>
      <c r="Z9" s="61">
        <v>42</v>
      </c>
      <c r="AA9" s="61">
        <v>35</v>
      </c>
      <c r="AB9" s="61">
        <v>38</v>
      </c>
      <c r="AC9" s="61">
        <v>41</v>
      </c>
      <c r="AD9" s="61">
        <v>43</v>
      </c>
      <c r="AE9" s="61">
        <v>41</v>
      </c>
      <c r="AF9" s="61">
        <v>41</v>
      </c>
      <c r="AG9" s="61">
        <v>41</v>
      </c>
      <c r="AH9" s="61">
        <v>35</v>
      </c>
      <c r="AI9" s="61">
        <v>28</v>
      </c>
      <c r="AJ9" s="61">
        <v>41</v>
      </c>
      <c r="AK9" s="61">
        <v>41</v>
      </c>
      <c r="AL9" s="61">
        <v>41</v>
      </c>
      <c r="AM9" s="61">
        <v>41</v>
      </c>
      <c r="AN9" s="61">
        <v>42</v>
      </c>
      <c r="AO9" s="61">
        <v>0</v>
      </c>
      <c r="AP9" s="62" t="e">
        <f>SUM(#REF!)</f>
        <v>#REF!</v>
      </c>
    </row>
    <row r="10" spans="2:43" s="40" customFormat="1" ht="23.25" customHeight="1" x14ac:dyDescent="0.3">
      <c r="B10" s="56">
        <v>4</v>
      </c>
      <c r="C10" s="96">
        <v>0</v>
      </c>
      <c r="D10" s="58">
        <v>38</v>
      </c>
      <c r="E10" s="57">
        <v>12</v>
      </c>
      <c r="F10" s="53"/>
      <c r="G10" s="45"/>
      <c r="H10" s="386"/>
      <c r="I10" s="369" t="s">
        <v>11</v>
      </c>
      <c r="J10" s="370"/>
      <c r="K10" s="63">
        <f t="array" ref="K10:AO10">TRANSPOSE(E7:E37)</f>
        <v>16</v>
      </c>
      <c r="L10" s="63">
        <v>16</v>
      </c>
      <c r="M10" s="63">
        <v>12</v>
      </c>
      <c r="N10" s="63">
        <v>12</v>
      </c>
      <c r="O10" s="63">
        <v>16</v>
      </c>
      <c r="P10" s="63">
        <v>16</v>
      </c>
      <c r="Q10" s="63">
        <v>16</v>
      </c>
      <c r="R10" s="63">
        <v>16</v>
      </c>
      <c r="S10" s="63">
        <v>16</v>
      </c>
      <c r="T10" s="63">
        <v>12</v>
      </c>
      <c r="U10" s="63">
        <v>12</v>
      </c>
      <c r="V10" s="63">
        <v>16</v>
      </c>
      <c r="W10" s="63">
        <v>16</v>
      </c>
      <c r="X10" s="63">
        <v>16</v>
      </c>
      <c r="Y10" s="63">
        <v>16</v>
      </c>
      <c r="Z10" s="63">
        <v>16</v>
      </c>
      <c r="AA10" s="63">
        <v>12</v>
      </c>
      <c r="AB10" s="63">
        <v>12</v>
      </c>
      <c r="AC10" s="63">
        <v>16</v>
      </c>
      <c r="AD10" s="63">
        <v>16</v>
      </c>
      <c r="AE10" s="63">
        <v>16</v>
      </c>
      <c r="AF10" s="63">
        <v>16</v>
      </c>
      <c r="AG10" s="63">
        <v>16</v>
      </c>
      <c r="AH10" s="63">
        <v>12</v>
      </c>
      <c r="AI10" s="63">
        <v>12</v>
      </c>
      <c r="AJ10" s="63">
        <v>16</v>
      </c>
      <c r="AK10" s="63">
        <v>16</v>
      </c>
      <c r="AL10" s="63">
        <v>16</v>
      </c>
      <c r="AM10" s="63">
        <v>16</v>
      </c>
      <c r="AN10" s="63">
        <v>16</v>
      </c>
      <c r="AO10" s="63">
        <v>0</v>
      </c>
      <c r="AP10" s="55"/>
    </row>
    <row r="11" spans="2:43" s="40" customFormat="1" ht="23.25" customHeight="1" thickBot="1" x14ac:dyDescent="0.35">
      <c r="B11" s="56">
        <v>5</v>
      </c>
      <c r="C11" s="96">
        <v>0</v>
      </c>
      <c r="D11" s="58">
        <v>41</v>
      </c>
      <c r="E11" s="57">
        <v>16</v>
      </c>
      <c r="F11" s="53"/>
      <c r="G11" s="45"/>
      <c r="H11" s="387"/>
      <c r="I11" s="371" t="s">
        <v>3</v>
      </c>
      <c r="J11" s="372"/>
      <c r="K11" s="101">
        <f>K9+K10</f>
        <v>53</v>
      </c>
      <c r="L11" s="101">
        <f t="shared" ref="L11:AO11" si="0">L9+L10</f>
        <v>58</v>
      </c>
      <c r="M11" s="101">
        <f t="shared" si="0"/>
        <v>47</v>
      </c>
      <c r="N11" s="101">
        <f t="shared" si="0"/>
        <v>50</v>
      </c>
      <c r="O11" s="101">
        <f t="shared" si="0"/>
        <v>57</v>
      </c>
      <c r="P11" s="101">
        <f t="shared" si="0"/>
        <v>57</v>
      </c>
      <c r="Q11" s="101">
        <f t="shared" si="0"/>
        <v>57</v>
      </c>
      <c r="R11" s="101">
        <f t="shared" si="0"/>
        <v>57</v>
      </c>
      <c r="S11" s="101">
        <f t="shared" si="0"/>
        <v>58</v>
      </c>
      <c r="T11" s="101">
        <f t="shared" si="0"/>
        <v>47</v>
      </c>
      <c r="U11" s="101">
        <f t="shared" si="0"/>
        <v>50</v>
      </c>
      <c r="V11" s="101">
        <f t="shared" si="0"/>
        <v>57</v>
      </c>
      <c r="W11" s="101">
        <f t="shared" si="0"/>
        <v>57</v>
      </c>
      <c r="X11" s="101">
        <f t="shared" si="0"/>
        <v>57</v>
      </c>
      <c r="Y11" s="101">
        <f t="shared" si="0"/>
        <v>57</v>
      </c>
      <c r="Z11" s="101">
        <f t="shared" si="0"/>
        <v>58</v>
      </c>
      <c r="AA11" s="101">
        <f t="shared" si="0"/>
        <v>47</v>
      </c>
      <c r="AB11" s="101">
        <f t="shared" si="0"/>
        <v>50</v>
      </c>
      <c r="AC11" s="101">
        <f t="shared" si="0"/>
        <v>57</v>
      </c>
      <c r="AD11" s="101">
        <f t="shared" si="0"/>
        <v>59</v>
      </c>
      <c r="AE11" s="101">
        <f t="shared" si="0"/>
        <v>57</v>
      </c>
      <c r="AF11" s="101">
        <f t="shared" si="0"/>
        <v>57</v>
      </c>
      <c r="AG11" s="101">
        <f t="shared" si="0"/>
        <v>57</v>
      </c>
      <c r="AH11" s="101">
        <f t="shared" si="0"/>
        <v>47</v>
      </c>
      <c r="AI11" s="101">
        <f t="shared" si="0"/>
        <v>40</v>
      </c>
      <c r="AJ11" s="101">
        <f t="shared" si="0"/>
        <v>57</v>
      </c>
      <c r="AK11" s="101">
        <f t="shared" si="0"/>
        <v>57</v>
      </c>
      <c r="AL11" s="101">
        <f t="shared" si="0"/>
        <v>57</v>
      </c>
      <c r="AM11" s="101">
        <f t="shared" si="0"/>
        <v>57</v>
      </c>
      <c r="AN11" s="101">
        <f t="shared" si="0"/>
        <v>58</v>
      </c>
      <c r="AO11" s="101">
        <f t="shared" si="0"/>
        <v>0</v>
      </c>
      <c r="AP11" s="55"/>
    </row>
    <row r="12" spans="2:43" s="40" customFormat="1" ht="23.25" customHeight="1" x14ac:dyDescent="0.3">
      <c r="B12" s="56">
        <v>6</v>
      </c>
      <c r="C12" s="96">
        <v>0</v>
      </c>
      <c r="D12" s="58">
        <v>41</v>
      </c>
      <c r="E12" s="57">
        <v>16</v>
      </c>
      <c r="F12" s="53"/>
      <c r="G12" s="45"/>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55"/>
    </row>
    <row r="13" spans="2:43" s="40" customFormat="1" ht="23.25" customHeight="1" x14ac:dyDescent="0.3">
      <c r="B13" s="56">
        <v>7</v>
      </c>
      <c r="C13" s="96">
        <v>0</v>
      </c>
      <c r="D13" s="58">
        <v>41</v>
      </c>
      <c r="E13" s="57">
        <v>16</v>
      </c>
      <c r="F13" s="53"/>
      <c r="G13" s="45"/>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55"/>
    </row>
    <row r="14" spans="2:43" s="40" customFormat="1" ht="23.25" customHeight="1" thickBot="1" x14ac:dyDescent="0.35">
      <c r="B14" s="56">
        <v>8</v>
      </c>
      <c r="C14" s="96">
        <v>0</v>
      </c>
      <c r="D14" s="58">
        <v>41</v>
      </c>
      <c r="E14" s="57">
        <v>16</v>
      </c>
      <c r="F14" s="53"/>
      <c r="G14" s="71"/>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c r="AP14" s="72"/>
    </row>
    <row r="15" spans="2:43" s="40" customFormat="1" ht="23.25" customHeight="1" x14ac:dyDescent="0.3">
      <c r="B15" s="56">
        <v>9</v>
      </c>
      <c r="C15" s="96">
        <v>0</v>
      </c>
      <c r="D15" s="58">
        <v>42</v>
      </c>
      <c r="E15" s="57">
        <v>16</v>
      </c>
      <c r="F15" s="53"/>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23.25" customHeight="1" x14ac:dyDescent="0.3">
      <c r="B16" s="56">
        <v>10</v>
      </c>
      <c r="C16" s="96">
        <v>0</v>
      </c>
      <c r="D16" s="58">
        <v>35</v>
      </c>
      <c r="E16" s="57">
        <v>12</v>
      </c>
      <c r="F16" s="53"/>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23.25" customHeight="1" x14ac:dyDescent="0.3">
      <c r="B17" s="56">
        <v>11</v>
      </c>
      <c r="C17" s="96">
        <v>0</v>
      </c>
      <c r="D17" s="58">
        <v>38</v>
      </c>
      <c r="E17" s="57">
        <v>12</v>
      </c>
      <c r="F17" s="53"/>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23.25" customHeight="1" x14ac:dyDescent="0.3">
      <c r="B18" s="56">
        <v>12</v>
      </c>
      <c r="C18" s="96">
        <v>0</v>
      </c>
      <c r="D18" s="58">
        <v>41</v>
      </c>
      <c r="E18" s="57">
        <v>16</v>
      </c>
      <c r="F18" s="53"/>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row>
    <row r="19" spans="2:43" s="40" customFormat="1" ht="23.25" customHeight="1" x14ac:dyDescent="0.3">
      <c r="B19" s="56">
        <v>13</v>
      </c>
      <c r="C19" s="96">
        <v>0</v>
      </c>
      <c r="D19" s="58">
        <v>41</v>
      </c>
      <c r="E19" s="57">
        <v>16</v>
      </c>
      <c r="F19" s="53"/>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row>
    <row r="20" spans="2:43" s="40" customFormat="1" ht="23.25" customHeight="1" x14ac:dyDescent="0.3">
      <c r="B20" s="56">
        <v>14</v>
      </c>
      <c r="C20" s="96">
        <v>0</v>
      </c>
      <c r="D20" s="58">
        <v>41</v>
      </c>
      <c r="E20" s="57">
        <v>16</v>
      </c>
      <c r="F20" s="53"/>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row>
    <row r="21" spans="2:43" s="40" customFormat="1" ht="23.25" customHeight="1" x14ac:dyDescent="0.3">
      <c r="B21" s="56">
        <v>15</v>
      </c>
      <c r="C21" s="96">
        <v>0</v>
      </c>
      <c r="D21" s="58">
        <v>41</v>
      </c>
      <c r="E21" s="57">
        <v>16</v>
      </c>
      <c r="F21" s="53"/>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row>
    <row r="22" spans="2:43" s="40" customFormat="1" ht="23.25" customHeight="1" x14ac:dyDescent="0.3">
      <c r="B22" s="56">
        <v>16</v>
      </c>
      <c r="C22" s="96">
        <v>0</v>
      </c>
      <c r="D22" s="58">
        <v>42</v>
      </c>
      <c r="E22" s="57">
        <v>16</v>
      </c>
      <c r="F22" s="53"/>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row>
    <row r="23" spans="2:43" s="40" customFormat="1" ht="23.25" customHeight="1" x14ac:dyDescent="0.3">
      <c r="B23" s="56">
        <v>17</v>
      </c>
      <c r="C23" s="96">
        <v>0</v>
      </c>
      <c r="D23" s="58">
        <v>35</v>
      </c>
      <c r="E23" s="57">
        <v>12</v>
      </c>
      <c r="F23" s="53"/>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row>
    <row r="24" spans="2:43" s="40" customFormat="1" ht="23.25" customHeight="1" x14ac:dyDescent="0.3">
      <c r="B24" s="56">
        <v>18</v>
      </c>
      <c r="C24" s="96">
        <v>0</v>
      </c>
      <c r="D24" s="58">
        <v>38</v>
      </c>
      <c r="E24" s="57">
        <v>12</v>
      </c>
      <c r="F24" s="53"/>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row>
    <row r="25" spans="2:43" s="40" customFormat="1" ht="23.25" customHeight="1" x14ac:dyDescent="0.3">
      <c r="B25" s="56">
        <v>19</v>
      </c>
      <c r="C25" s="96">
        <v>0</v>
      </c>
      <c r="D25" s="58">
        <v>41</v>
      </c>
      <c r="E25" s="57">
        <v>16</v>
      </c>
      <c r="F25" s="53"/>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row>
    <row r="26" spans="2:43" s="40" customFormat="1" ht="23.25" customHeight="1" x14ac:dyDescent="0.3">
      <c r="B26" s="56">
        <v>20</v>
      </c>
      <c r="C26" s="96">
        <v>0</v>
      </c>
      <c r="D26" s="58">
        <v>43</v>
      </c>
      <c r="E26" s="57">
        <v>16</v>
      </c>
      <c r="F26" s="53"/>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row>
    <row r="27" spans="2:43" s="40" customFormat="1" ht="23.25" customHeight="1" x14ac:dyDescent="0.3">
      <c r="B27" s="56">
        <v>21</v>
      </c>
      <c r="C27" s="96">
        <v>0</v>
      </c>
      <c r="D27" s="58">
        <v>41</v>
      </c>
      <c r="E27" s="57">
        <v>16</v>
      </c>
      <c r="F27" s="53"/>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row>
    <row r="28" spans="2:43" s="40" customFormat="1" ht="23.25" customHeight="1" x14ac:dyDescent="0.3">
      <c r="B28" s="56">
        <v>22</v>
      </c>
      <c r="C28" s="96">
        <v>0</v>
      </c>
      <c r="D28" s="58">
        <v>41</v>
      </c>
      <c r="E28" s="57">
        <v>16</v>
      </c>
      <c r="F28" s="53"/>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row>
    <row r="29" spans="2:43" s="40" customFormat="1" ht="23.25" customHeight="1" x14ac:dyDescent="0.3">
      <c r="B29" s="56">
        <v>23</v>
      </c>
      <c r="C29" s="96">
        <v>0</v>
      </c>
      <c r="D29" s="58">
        <v>41</v>
      </c>
      <c r="E29" s="57">
        <v>16</v>
      </c>
      <c r="F29" s="53"/>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row>
    <row r="30" spans="2:43" s="40" customFormat="1" ht="23.25" customHeight="1" x14ac:dyDescent="0.3">
      <c r="B30" s="56">
        <v>24</v>
      </c>
      <c r="C30" s="96">
        <v>0</v>
      </c>
      <c r="D30" s="58">
        <v>35</v>
      </c>
      <c r="E30" s="57">
        <v>12</v>
      </c>
      <c r="F30" s="53"/>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row>
    <row r="31" spans="2:43" s="40" customFormat="1" ht="23.25" customHeight="1" x14ac:dyDescent="0.3">
      <c r="B31" s="56">
        <v>25</v>
      </c>
      <c r="C31" s="96">
        <v>0</v>
      </c>
      <c r="D31" s="58">
        <v>28</v>
      </c>
      <c r="E31" s="57">
        <v>12</v>
      </c>
      <c r="F31" s="53"/>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c r="AO31" s="38"/>
      <c r="AP31" s="38"/>
      <c r="AQ31" s="38"/>
    </row>
    <row r="32" spans="2:43" s="40" customFormat="1" ht="23.25" customHeight="1" x14ac:dyDescent="0.3">
      <c r="B32" s="56">
        <v>26</v>
      </c>
      <c r="C32" s="96">
        <v>0</v>
      </c>
      <c r="D32" s="58">
        <v>41</v>
      </c>
      <c r="E32" s="57">
        <v>16</v>
      </c>
      <c r="F32" s="53"/>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c r="AO32" s="38"/>
      <c r="AP32" s="38"/>
      <c r="AQ32" s="38"/>
    </row>
    <row r="33" spans="2:43" s="40" customFormat="1" ht="23.25" customHeight="1" x14ac:dyDescent="0.3">
      <c r="B33" s="56">
        <v>27</v>
      </c>
      <c r="C33" s="96">
        <v>0</v>
      </c>
      <c r="D33" s="58">
        <v>41</v>
      </c>
      <c r="E33" s="57">
        <v>16</v>
      </c>
      <c r="F33" s="53"/>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row>
    <row r="34" spans="2:43" s="40" customFormat="1" ht="23.25" customHeight="1" x14ac:dyDescent="0.3">
      <c r="B34" s="56">
        <v>28</v>
      </c>
      <c r="C34" s="96">
        <v>0</v>
      </c>
      <c r="D34" s="58">
        <v>41</v>
      </c>
      <c r="E34" s="57">
        <v>16</v>
      </c>
      <c r="F34" s="53"/>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row>
    <row r="35" spans="2:43" s="40" customFormat="1" ht="23.25" customHeight="1" x14ac:dyDescent="0.3">
      <c r="B35" s="56">
        <v>29</v>
      </c>
      <c r="C35" s="96">
        <v>0</v>
      </c>
      <c r="D35" s="58">
        <v>41</v>
      </c>
      <c r="E35" s="57">
        <v>16</v>
      </c>
      <c r="F35" s="53"/>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c r="AO35" s="38"/>
      <c r="AP35" s="38"/>
      <c r="AQ35" s="38"/>
    </row>
    <row r="36" spans="2:43" s="40" customFormat="1" ht="23.25" customHeight="1" x14ac:dyDescent="0.3">
      <c r="B36" s="56">
        <v>30</v>
      </c>
      <c r="C36" s="96">
        <v>0</v>
      </c>
      <c r="D36" s="58">
        <v>42</v>
      </c>
      <c r="E36" s="57">
        <v>16</v>
      </c>
      <c r="F36" s="53"/>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row>
    <row r="37" spans="2:43" s="40" customFormat="1" ht="23.25" customHeight="1" thickBot="1" x14ac:dyDescent="0.35">
      <c r="B37" s="89">
        <v>31</v>
      </c>
      <c r="C37" s="96">
        <v>0</v>
      </c>
      <c r="D37" s="90">
        <v>0</v>
      </c>
      <c r="E37" s="58">
        <v>0</v>
      </c>
      <c r="F37" s="53"/>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row>
    <row r="38" spans="2:43" s="40" customFormat="1" ht="23.25" customHeight="1" thickBot="1" x14ac:dyDescent="0.3">
      <c r="B38" s="92" t="s">
        <v>3</v>
      </c>
      <c r="C38" s="93">
        <f>SUM(C7:C37)</f>
        <v>0</v>
      </c>
      <c r="D38" s="93">
        <f>SUM(D7:D37)</f>
        <v>1186</v>
      </c>
      <c r="E38" s="94">
        <f>SUM(E7:E37)</f>
        <v>448</v>
      </c>
      <c r="F38" s="53"/>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row>
    <row r="39" spans="2:43" s="40" customFormat="1" ht="23.25" customHeight="1" x14ac:dyDescent="0.25">
      <c r="B39" s="37"/>
      <c r="C39" s="38"/>
      <c r="D39" s="38"/>
      <c r="E39" s="38"/>
      <c r="F39" s="53"/>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row>
    <row r="40" spans="2:43" s="40" customFormat="1" ht="23.25" customHeight="1" x14ac:dyDescent="0.25">
      <c r="B40" s="37"/>
      <c r="C40" s="38"/>
      <c r="D40" s="38"/>
      <c r="E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row>
    <row r="42" spans="2:43" ht="17.399999999999999" x14ac:dyDescent="0.25">
      <c r="G42" s="40"/>
      <c r="H42" s="40"/>
    </row>
  </sheetData>
  <mergeCells count="13">
    <mergeCell ref="B2:E2"/>
    <mergeCell ref="G2:AP2"/>
    <mergeCell ref="B3:E3"/>
    <mergeCell ref="B4:B6"/>
    <mergeCell ref="C4:E4"/>
    <mergeCell ref="C5:E5"/>
    <mergeCell ref="H5:AO6"/>
    <mergeCell ref="H7:H11"/>
    <mergeCell ref="K7:AO7"/>
    <mergeCell ref="I8:J8"/>
    <mergeCell ref="I9:J9"/>
    <mergeCell ref="I10:J10"/>
    <mergeCell ref="I11:J11"/>
  </mergeCells>
  <pageMargins left="0.75" right="0.75" top="1" bottom="1" header="0" footer="0"/>
  <pageSetup paperSize="9" scale="26" orientation="landscape" horizontalDpi="300" verticalDpi="300"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98B1D-A178-4C98-87CE-097893E70B49}">
  <sheetPr codeName="Hoja12">
    <pageSetUpPr fitToPage="1"/>
  </sheetPr>
  <dimension ref="B1:AQ42"/>
  <sheetViews>
    <sheetView zoomScale="70" zoomScaleNormal="70" workbookViewId="0">
      <selection activeCell="K11" sqref="K11:AO11"/>
    </sheetView>
  </sheetViews>
  <sheetFormatPr baseColWidth="10" defaultColWidth="11.44140625" defaultRowHeight="13.2" x14ac:dyDescent="0.25"/>
  <cols>
    <col min="1" max="1" width="2.21875" style="38" customWidth="1"/>
    <col min="2" max="2" width="11.77734375" style="37" customWidth="1"/>
    <col min="3" max="5" width="12.77734375" style="38" customWidth="1"/>
    <col min="6" max="6" width="5.77734375" style="38" customWidth="1"/>
    <col min="7" max="7" width="6.21875" style="38" customWidth="1"/>
    <col min="8" max="8" width="4" style="38" customWidth="1"/>
    <col min="9" max="9" width="6.21875" style="38" customWidth="1"/>
    <col min="10" max="10" width="5" style="38" customWidth="1"/>
    <col min="11" max="11" width="4.77734375" style="38" customWidth="1"/>
    <col min="12" max="12" width="5" style="38" customWidth="1"/>
    <col min="13" max="31" width="3.77734375" style="38" customWidth="1"/>
    <col min="32" max="32" width="4.77734375" style="38" customWidth="1"/>
    <col min="33" max="33" width="3.77734375" style="38" customWidth="1"/>
    <col min="34" max="42" width="4.77734375" style="38" bestFit="1" customWidth="1"/>
    <col min="43" max="43" width="3.77734375" style="38" customWidth="1"/>
    <col min="44" max="44" width="7.77734375" style="38" customWidth="1"/>
    <col min="45" max="16384" width="11.44140625" style="38"/>
  </cols>
  <sheetData>
    <row r="1" spans="2:43" ht="11.25" customHeight="1" thickBot="1" x14ac:dyDescent="0.3"/>
    <row r="2" spans="2:43" ht="50.25" customHeight="1" thickBot="1" x14ac:dyDescent="0.3">
      <c r="B2" s="380" t="s">
        <v>88</v>
      </c>
      <c r="C2" s="380"/>
      <c r="D2" s="380"/>
      <c r="E2" s="380"/>
      <c r="G2" s="394" t="s">
        <v>6</v>
      </c>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6"/>
    </row>
    <row r="3" spans="2:43" ht="24" customHeight="1" thickBot="1" x14ac:dyDescent="0.3">
      <c r="B3" s="379">
        <v>45108</v>
      </c>
      <c r="C3" s="379"/>
      <c r="D3" s="379"/>
      <c r="E3" s="379"/>
      <c r="F3" s="40"/>
      <c r="G3" s="41"/>
      <c r="H3" s="42"/>
      <c r="I3" s="42"/>
      <c r="J3" s="4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43"/>
    </row>
    <row r="4" spans="2:43" ht="33.75" customHeight="1" thickBot="1" x14ac:dyDescent="0.3">
      <c r="B4" s="377" t="s">
        <v>10</v>
      </c>
      <c r="C4" s="381" t="s">
        <v>7</v>
      </c>
      <c r="D4" s="381"/>
      <c r="E4" s="381"/>
      <c r="F4" s="40"/>
      <c r="G4" s="41"/>
      <c r="H4" s="42"/>
      <c r="I4" s="42"/>
      <c r="J4" s="42"/>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43"/>
    </row>
    <row r="5" spans="2:43" ht="23.25" customHeight="1" x14ac:dyDescent="0.25">
      <c r="B5" s="377"/>
      <c r="C5" s="382" t="s">
        <v>9</v>
      </c>
      <c r="D5" s="382"/>
      <c r="E5" s="382"/>
      <c r="G5" s="49"/>
      <c r="H5" s="312" t="s">
        <v>8</v>
      </c>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4"/>
      <c r="AP5" s="48"/>
    </row>
    <row r="6" spans="2:43" ht="23.25" customHeight="1" thickBot="1" x14ac:dyDescent="0.3">
      <c r="B6" s="377" t="s">
        <v>89</v>
      </c>
      <c r="C6" s="50" t="s">
        <v>90</v>
      </c>
      <c r="D6" s="50" t="s">
        <v>91</v>
      </c>
      <c r="E6" s="50" t="s">
        <v>11</v>
      </c>
      <c r="G6" s="49"/>
      <c r="H6" s="373"/>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7"/>
      <c r="AP6" s="48"/>
    </row>
    <row r="7" spans="2:43" s="40" customFormat="1" ht="23.25" customHeight="1" x14ac:dyDescent="0.3">
      <c r="B7" s="95">
        <v>1</v>
      </c>
      <c r="C7" s="96">
        <v>0</v>
      </c>
      <c r="D7" s="51">
        <v>35</v>
      </c>
      <c r="E7" s="57">
        <v>12</v>
      </c>
      <c r="F7" s="53"/>
      <c r="G7" s="45"/>
      <c r="H7" s="385">
        <f>B3</f>
        <v>45108</v>
      </c>
      <c r="I7" s="147"/>
      <c r="J7" s="54"/>
      <c r="K7" s="365" t="s">
        <v>2</v>
      </c>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55"/>
    </row>
    <row r="8" spans="2:43" s="40" customFormat="1" ht="23.25" customHeight="1" x14ac:dyDescent="0.3">
      <c r="B8" s="56">
        <v>2</v>
      </c>
      <c r="C8" s="96">
        <v>0</v>
      </c>
      <c r="D8" s="58">
        <v>38</v>
      </c>
      <c r="E8" s="57">
        <v>12</v>
      </c>
      <c r="F8" s="53"/>
      <c r="G8" s="45"/>
      <c r="H8" s="386"/>
      <c r="I8" s="389"/>
      <c r="J8" s="368"/>
      <c r="K8" s="100">
        <v>1</v>
      </c>
      <c r="L8" s="100">
        <v>2</v>
      </c>
      <c r="M8" s="100">
        <v>3</v>
      </c>
      <c r="N8" s="100">
        <v>4</v>
      </c>
      <c r="O8" s="100">
        <v>5</v>
      </c>
      <c r="P8" s="100">
        <v>6</v>
      </c>
      <c r="Q8" s="100">
        <v>7</v>
      </c>
      <c r="R8" s="100">
        <v>8</v>
      </c>
      <c r="S8" s="100">
        <v>9</v>
      </c>
      <c r="T8" s="100">
        <v>10</v>
      </c>
      <c r="U8" s="100">
        <v>11</v>
      </c>
      <c r="V8" s="100">
        <v>12</v>
      </c>
      <c r="W8" s="100">
        <v>13</v>
      </c>
      <c r="X8" s="100">
        <v>14</v>
      </c>
      <c r="Y8" s="100">
        <v>15</v>
      </c>
      <c r="Z8" s="100">
        <v>16</v>
      </c>
      <c r="AA8" s="100">
        <v>17</v>
      </c>
      <c r="AB8" s="100">
        <v>18</v>
      </c>
      <c r="AC8" s="100">
        <v>19</v>
      </c>
      <c r="AD8" s="100">
        <v>20</v>
      </c>
      <c r="AE8" s="100">
        <v>21</v>
      </c>
      <c r="AF8" s="100">
        <v>22</v>
      </c>
      <c r="AG8" s="100">
        <v>23</v>
      </c>
      <c r="AH8" s="100">
        <v>24</v>
      </c>
      <c r="AI8" s="100">
        <v>25</v>
      </c>
      <c r="AJ8" s="100">
        <v>26</v>
      </c>
      <c r="AK8" s="100">
        <v>27</v>
      </c>
      <c r="AL8" s="100">
        <v>28</v>
      </c>
      <c r="AM8" s="100">
        <v>29</v>
      </c>
      <c r="AN8" s="100">
        <v>30</v>
      </c>
      <c r="AO8" s="148">
        <v>31</v>
      </c>
      <c r="AP8" s="55"/>
    </row>
    <row r="9" spans="2:43" s="40" customFormat="1" ht="23.25" customHeight="1" x14ac:dyDescent="0.3">
      <c r="B9" s="56">
        <v>3</v>
      </c>
      <c r="C9" s="96">
        <v>0</v>
      </c>
      <c r="D9" s="58">
        <v>41</v>
      </c>
      <c r="E9" s="57">
        <v>16</v>
      </c>
      <c r="F9" s="53"/>
      <c r="G9" s="45"/>
      <c r="H9" s="386"/>
      <c r="I9" s="390" t="s">
        <v>7</v>
      </c>
      <c r="J9" s="378"/>
      <c r="K9" s="61">
        <f t="array" ref="K9:AO9">TRANSPOSE(D7:D37)</f>
        <v>35</v>
      </c>
      <c r="L9" s="61">
        <v>38</v>
      </c>
      <c r="M9" s="61">
        <v>41</v>
      </c>
      <c r="N9" s="61">
        <v>41</v>
      </c>
      <c r="O9" s="61">
        <v>41</v>
      </c>
      <c r="P9" s="61">
        <v>42</v>
      </c>
      <c r="Q9" s="61">
        <v>42</v>
      </c>
      <c r="R9" s="61">
        <v>35</v>
      </c>
      <c r="S9" s="61">
        <v>38</v>
      </c>
      <c r="T9" s="61">
        <v>41</v>
      </c>
      <c r="U9" s="61">
        <v>41</v>
      </c>
      <c r="V9" s="61">
        <v>41</v>
      </c>
      <c r="W9" s="61">
        <v>41</v>
      </c>
      <c r="X9" s="61">
        <v>42</v>
      </c>
      <c r="Y9" s="61">
        <v>35</v>
      </c>
      <c r="Z9" s="61">
        <v>38</v>
      </c>
      <c r="AA9" s="61">
        <v>41</v>
      </c>
      <c r="AB9" s="61">
        <v>41</v>
      </c>
      <c r="AC9" s="61">
        <v>41</v>
      </c>
      <c r="AD9" s="61">
        <v>41</v>
      </c>
      <c r="AE9" s="61">
        <v>42</v>
      </c>
      <c r="AF9" s="61">
        <v>35</v>
      </c>
      <c r="AG9" s="61">
        <v>39</v>
      </c>
      <c r="AH9" s="61">
        <v>41</v>
      </c>
      <c r="AI9" s="61">
        <v>41</v>
      </c>
      <c r="AJ9" s="61">
        <v>41</v>
      </c>
      <c r="AK9" s="61">
        <v>41</v>
      </c>
      <c r="AL9" s="61">
        <v>42</v>
      </c>
      <c r="AM9" s="61">
        <v>35</v>
      </c>
      <c r="AN9" s="61">
        <v>39</v>
      </c>
      <c r="AO9" s="149">
        <v>41</v>
      </c>
      <c r="AP9" s="62" t="e">
        <f>SUM(#REF!)</f>
        <v>#REF!</v>
      </c>
    </row>
    <row r="10" spans="2:43" s="40" customFormat="1" ht="23.25" customHeight="1" x14ac:dyDescent="0.3">
      <c r="B10" s="56">
        <v>4</v>
      </c>
      <c r="C10" s="96">
        <v>0</v>
      </c>
      <c r="D10" s="58">
        <v>41</v>
      </c>
      <c r="E10" s="57">
        <v>16</v>
      </c>
      <c r="F10" s="53"/>
      <c r="G10" s="45"/>
      <c r="H10" s="386"/>
      <c r="I10" s="391" t="s">
        <v>11</v>
      </c>
      <c r="J10" s="370"/>
      <c r="K10" s="63">
        <f t="array" ref="K10:AO10">TRANSPOSE(E7:E37)</f>
        <v>12</v>
      </c>
      <c r="L10" s="63">
        <v>12</v>
      </c>
      <c r="M10" s="63">
        <v>16</v>
      </c>
      <c r="N10" s="63">
        <v>16</v>
      </c>
      <c r="O10" s="63">
        <v>16</v>
      </c>
      <c r="P10" s="63">
        <v>16</v>
      </c>
      <c r="Q10" s="63">
        <v>16</v>
      </c>
      <c r="R10" s="63">
        <v>12</v>
      </c>
      <c r="S10" s="63">
        <v>12</v>
      </c>
      <c r="T10" s="63">
        <v>16</v>
      </c>
      <c r="U10" s="63">
        <v>16</v>
      </c>
      <c r="V10" s="63">
        <v>16</v>
      </c>
      <c r="W10" s="63">
        <v>16</v>
      </c>
      <c r="X10" s="63">
        <v>16</v>
      </c>
      <c r="Y10" s="63">
        <v>12</v>
      </c>
      <c r="Z10" s="63">
        <v>12</v>
      </c>
      <c r="AA10" s="63">
        <v>16</v>
      </c>
      <c r="AB10" s="63">
        <v>16</v>
      </c>
      <c r="AC10" s="63">
        <v>16</v>
      </c>
      <c r="AD10" s="63">
        <v>16</v>
      </c>
      <c r="AE10" s="63">
        <v>16</v>
      </c>
      <c r="AF10" s="63">
        <v>12</v>
      </c>
      <c r="AG10" s="63">
        <v>12</v>
      </c>
      <c r="AH10" s="63">
        <v>16</v>
      </c>
      <c r="AI10" s="63">
        <v>16</v>
      </c>
      <c r="AJ10" s="63">
        <v>16</v>
      </c>
      <c r="AK10" s="63">
        <v>16</v>
      </c>
      <c r="AL10" s="63">
        <v>16</v>
      </c>
      <c r="AM10" s="63">
        <v>12</v>
      </c>
      <c r="AN10" s="63">
        <v>12</v>
      </c>
      <c r="AO10" s="150">
        <v>16</v>
      </c>
      <c r="AP10" s="55"/>
    </row>
    <row r="11" spans="2:43" s="40" customFormat="1" ht="23.25" customHeight="1" thickBot="1" x14ac:dyDescent="0.35">
      <c r="B11" s="56">
        <v>5</v>
      </c>
      <c r="C11" s="96">
        <v>0</v>
      </c>
      <c r="D11" s="58">
        <v>41</v>
      </c>
      <c r="E11" s="57">
        <v>16</v>
      </c>
      <c r="F11" s="53"/>
      <c r="G11" s="45"/>
      <c r="H11" s="387"/>
      <c r="I11" s="392" t="s">
        <v>3</v>
      </c>
      <c r="J11" s="393"/>
      <c r="K11" s="151">
        <f>K9+K10</f>
        <v>47</v>
      </c>
      <c r="L11" s="151">
        <f t="shared" ref="L11:AO11" si="0">L9+L10</f>
        <v>50</v>
      </c>
      <c r="M11" s="151">
        <f t="shared" si="0"/>
        <v>57</v>
      </c>
      <c r="N11" s="151">
        <f t="shared" si="0"/>
        <v>57</v>
      </c>
      <c r="O11" s="151">
        <f t="shared" si="0"/>
        <v>57</v>
      </c>
      <c r="P11" s="151">
        <f t="shared" si="0"/>
        <v>58</v>
      </c>
      <c r="Q11" s="151">
        <f t="shared" si="0"/>
        <v>58</v>
      </c>
      <c r="R11" s="151">
        <f t="shared" si="0"/>
        <v>47</v>
      </c>
      <c r="S11" s="151">
        <f t="shared" si="0"/>
        <v>50</v>
      </c>
      <c r="T11" s="151">
        <f t="shared" si="0"/>
        <v>57</v>
      </c>
      <c r="U11" s="151">
        <f t="shared" si="0"/>
        <v>57</v>
      </c>
      <c r="V11" s="151">
        <f t="shared" si="0"/>
        <v>57</v>
      </c>
      <c r="W11" s="151">
        <f t="shared" si="0"/>
        <v>57</v>
      </c>
      <c r="X11" s="151">
        <f t="shared" si="0"/>
        <v>58</v>
      </c>
      <c r="Y11" s="151">
        <f t="shared" si="0"/>
        <v>47</v>
      </c>
      <c r="Z11" s="151">
        <f t="shared" si="0"/>
        <v>50</v>
      </c>
      <c r="AA11" s="151">
        <f t="shared" si="0"/>
        <v>57</v>
      </c>
      <c r="AB11" s="151">
        <f t="shared" si="0"/>
        <v>57</v>
      </c>
      <c r="AC11" s="151">
        <f t="shared" si="0"/>
        <v>57</v>
      </c>
      <c r="AD11" s="151">
        <f t="shared" si="0"/>
        <v>57</v>
      </c>
      <c r="AE11" s="151">
        <f t="shared" si="0"/>
        <v>58</v>
      </c>
      <c r="AF11" s="151">
        <f t="shared" si="0"/>
        <v>47</v>
      </c>
      <c r="AG11" s="151">
        <f t="shared" si="0"/>
        <v>51</v>
      </c>
      <c r="AH11" s="151">
        <f t="shared" si="0"/>
        <v>57</v>
      </c>
      <c r="AI11" s="151">
        <f t="shared" si="0"/>
        <v>57</v>
      </c>
      <c r="AJ11" s="151">
        <f t="shared" si="0"/>
        <v>57</v>
      </c>
      <c r="AK11" s="151">
        <f t="shared" si="0"/>
        <v>57</v>
      </c>
      <c r="AL11" s="151">
        <f t="shared" si="0"/>
        <v>58</v>
      </c>
      <c r="AM11" s="151">
        <f t="shared" si="0"/>
        <v>47</v>
      </c>
      <c r="AN11" s="151">
        <f t="shared" si="0"/>
        <v>51</v>
      </c>
      <c r="AO11" s="152">
        <f t="shared" si="0"/>
        <v>57</v>
      </c>
      <c r="AP11" s="55"/>
    </row>
    <row r="12" spans="2:43" s="40" customFormat="1" ht="23.25" customHeight="1" x14ac:dyDescent="0.3">
      <c r="B12" s="56">
        <v>6</v>
      </c>
      <c r="C12" s="96">
        <v>0</v>
      </c>
      <c r="D12" s="58">
        <v>42</v>
      </c>
      <c r="E12" s="57">
        <v>16</v>
      </c>
      <c r="F12" s="53"/>
      <c r="G12" s="45"/>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55"/>
    </row>
    <row r="13" spans="2:43" s="40" customFormat="1" ht="23.25" customHeight="1" x14ac:dyDescent="0.3">
      <c r="B13" s="56">
        <v>7</v>
      </c>
      <c r="C13" s="96">
        <v>0</v>
      </c>
      <c r="D13" s="58">
        <v>42</v>
      </c>
      <c r="E13" s="57">
        <v>16</v>
      </c>
      <c r="F13" s="53"/>
      <c r="G13" s="45"/>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55"/>
    </row>
    <row r="14" spans="2:43" s="40" customFormat="1" ht="23.25" customHeight="1" thickBot="1" x14ac:dyDescent="0.35">
      <c r="B14" s="56">
        <v>8</v>
      </c>
      <c r="C14" s="96">
        <v>0</v>
      </c>
      <c r="D14" s="58">
        <v>35</v>
      </c>
      <c r="E14" s="57">
        <v>12</v>
      </c>
      <c r="F14" s="53"/>
      <c r="G14" s="71"/>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c r="AP14" s="72"/>
    </row>
    <row r="15" spans="2:43" s="40" customFormat="1" ht="23.25" customHeight="1" x14ac:dyDescent="0.3">
      <c r="B15" s="56">
        <v>9</v>
      </c>
      <c r="C15" s="96">
        <v>0</v>
      </c>
      <c r="D15" s="58">
        <v>38</v>
      </c>
      <c r="E15" s="57">
        <v>12</v>
      </c>
      <c r="F15" s="53"/>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23.25" customHeight="1" x14ac:dyDescent="0.3">
      <c r="B16" s="56">
        <v>10</v>
      </c>
      <c r="C16" s="96">
        <v>0</v>
      </c>
      <c r="D16" s="58">
        <v>41</v>
      </c>
      <c r="E16" s="57">
        <v>16</v>
      </c>
      <c r="F16" s="53"/>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23.25" customHeight="1" x14ac:dyDescent="0.3">
      <c r="B17" s="56">
        <v>11</v>
      </c>
      <c r="C17" s="96">
        <v>0</v>
      </c>
      <c r="D17" s="58">
        <v>41</v>
      </c>
      <c r="E17" s="57">
        <v>16</v>
      </c>
      <c r="F17" s="53"/>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23.25" customHeight="1" x14ac:dyDescent="0.3">
      <c r="B18" s="56">
        <v>12</v>
      </c>
      <c r="C18" s="96">
        <v>0</v>
      </c>
      <c r="D18" s="58">
        <v>41</v>
      </c>
      <c r="E18" s="57">
        <v>16</v>
      </c>
      <c r="F18" s="53"/>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row>
    <row r="19" spans="2:43" s="40" customFormat="1" ht="23.25" customHeight="1" x14ac:dyDescent="0.3">
      <c r="B19" s="56">
        <v>13</v>
      </c>
      <c r="C19" s="96">
        <v>0</v>
      </c>
      <c r="D19" s="58">
        <v>41</v>
      </c>
      <c r="E19" s="57">
        <v>16</v>
      </c>
      <c r="F19" s="53"/>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row>
    <row r="20" spans="2:43" s="40" customFormat="1" ht="23.25" customHeight="1" x14ac:dyDescent="0.3">
      <c r="B20" s="56">
        <v>14</v>
      </c>
      <c r="C20" s="96">
        <v>0</v>
      </c>
      <c r="D20" s="58">
        <v>42</v>
      </c>
      <c r="E20" s="57">
        <v>16</v>
      </c>
      <c r="F20" s="53"/>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row>
    <row r="21" spans="2:43" s="40" customFormat="1" ht="23.25" customHeight="1" x14ac:dyDescent="0.3">
      <c r="B21" s="56">
        <v>15</v>
      </c>
      <c r="C21" s="96">
        <v>0</v>
      </c>
      <c r="D21" s="58">
        <v>35</v>
      </c>
      <c r="E21" s="57">
        <v>12</v>
      </c>
      <c r="F21" s="53"/>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row>
    <row r="22" spans="2:43" s="40" customFormat="1" ht="23.25" customHeight="1" x14ac:dyDescent="0.3">
      <c r="B22" s="56">
        <v>16</v>
      </c>
      <c r="C22" s="96">
        <v>0</v>
      </c>
      <c r="D22" s="58">
        <v>38</v>
      </c>
      <c r="E22" s="57">
        <v>12</v>
      </c>
      <c r="F22" s="53"/>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row>
    <row r="23" spans="2:43" s="40" customFormat="1" ht="23.25" customHeight="1" x14ac:dyDescent="0.3">
      <c r="B23" s="56">
        <v>17</v>
      </c>
      <c r="C23" s="96">
        <v>0</v>
      </c>
      <c r="D23" s="58">
        <v>41</v>
      </c>
      <c r="E23" s="57">
        <v>16</v>
      </c>
      <c r="F23" s="53"/>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row>
    <row r="24" spans="2:43" s="40" customFormat="1" ht="23.25" customHeight="1" x14ac:dyDescent="0.3">
      <c r="B24" s="56">
        <v>18</v>
      </c>
      <c r="C24" s="96">
        <v>0</v>
      </c>
      <c r="D24" s="58">
        <v>41</v>
      </c>
      <c r="E24" s="57">
        <v>16</v>
      </c>
      <c r="F24" s="53"/>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row>
    <row r="25" spans="2:43" s="40" customFormat="1" ht="23.25" customHeight="1" x14ac:dyDescent="0.3">
      <c r="B25" s="56">
        <v>19</v>
      </c>
      <c r="C25" s="96">
        <v>0</v>
      </c>
      <c r="D25" s="58">
        <v>41</v>
      </c>
      <c r="E25" s="57">
        <v>16</v>
      </c>
      <c r="F25" s="53"/>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row>
    <row r="26" spans="2:43" s="40" customFormat="1" ht="23.25" customHeight="1" x14ac:dyDescent="0.3">
      <c r="B26" s="56">
        <v>20</v>
      </c>
      <c r="C26" s="96">
        <v>0</v>
      </c>
      <c r="D26" s="58">
        <v>41</v>
      </c>
      <c r="E26" s="57">
        <v>16</v>
      </c>
      <c r="F26" s="53"/>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row>
    <row r="27" spans="2:43" s="40" customFormat="1" ht="23.25" customHeight="1" x14ac:dyDescent="0.3">
      <c r="B27" s="56">
        <v>21</v>
      </c>
      <c r="C27" s="96">
        <v>0</v>
      </c>
      <c r="D27" s="58">
        <v>42</v>
      </c>
      <c r="E27" s="57">
        <v>16</v>
      </c>
      <c r="F27" s="53"/>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row>
    <row r="28" spans="2:43" s="40" customFormat="1" ht="23.25" customHeight="1" x14ac:dyDescent="0.3">
      <c r="B28" s="56">
        <v>22</v>
      </c>
      <c r="C28" s="96">
        <v>0</v>
      </c>
      <c r="D28" s="58">
        <v>35</v>
      </c>
      <c r="E28" s="57">
        <v>12</v>
      </c>
      <c r="F28" s="53"/>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row>
    <row r="29" spans="2:43" s="40" customFormat="1" ht="23.25" customHeight="1" x14ac:dyDescent="0.3">
      <c r="B29" s="56">
        <v>23</v>
      </c>
      <c r="C29" s="96">
        <v>0</v>
      </c>
      <c r="D29" s="58">
        <v>39</v>
      </c>
      <c r="E29" s="57">
        <v>12</v>
      </c>
      <c r="F29" s="53"/>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row>
    <row r="30" spans="2:43" s="40" customFormat="1" ht="23.25" customHeight="1" x14ac:dyDescent="0.3">
      <c r="B30" s="56">
        <v>24</v>
      </c>
      <c r="C30" s="96">
        <v>0</v>
      </c>
      <c r="D30" s="58">
        <v>41</v>
      </c>
      <c r="E30" s="57">
        <v>16</v>
      </c>
      <c r="F30" s="53"/>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row>
    <row r="31" spans="2:43" s="40" customFormat="1" ht="23.25" customHeight="1" x14ac:dyDescent="0.3">
      <c r="B31" s="56">
        <v>25</v>
      </c>
      <c r="C31" s="96">
        <v>0</v>
      </c>
      <c r="D31" s="58">
        <v>41</v>
      </c>
      <c r="E31" s="57">
        <v>16</v>
      </c>
      <c r="F31" s="53"/>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c r="AO31" s="38"/>
      <c r="AP31" s="38"/>
      <c r="AQ31" s="38"/>
    </row>
    <row r="32" spans="2:43" s="40" customFormat="1" ht="23.25" customHeight="1" x14ac:dyDescent="0.3">
      <c r="B32" s="56">
        <v>26</v>
      </c>
      <c r="C32" s="96">
        <v>0</v>
      </c>
      <c r="D32" s="58">
        <v>41</v>
      </c>
      <c r="E32" s="57">
        <v>16</v>
      </c>
      <c r="F32" s="53"/>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c r="AO32" s="38"/>
      <c r="AP32" s="38"/>
      <c r="AQ32" s="38"/>
    </row>
    <row r="33" spans="2:43" s="40" customFormat="1" ht="23.25" customHeight="1" x14ac:dyDescent="0.3">
      <c r="B33" s="56">
        <v>27</v>
      </c>
      <c r="C33" s="96">
        <v>0</v>
      </c>
      <c r="D33" s="58">
        <v>41</v>
      </c>
      <c r="E33" s="57">
        <v>16</v>
      </c>
      <c r="F33" s="53"/>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row>
    <row r="34" spans="2:43" s="40" customFormat="1" ht="23.25" customHeight="1" x14ac:dyDescent="0.3">
      <c r="B34" s="56">
        <v>28</v>
      </c>
      <c r="C34" s="96">
        <v>0</v>
      </c>
      <c r="D34" s="58">
        <v>42</v>
      </c>
      <c r="E34" s="57">
        <v>16</v>
      </c>
      <c r="F34" s="53"/>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row>
    <row r="35" spans="2:43" s="40" customFormat="1" ht="23.25" customHeight="1" x14ac:dyDescent="0.3">
      <c r="B35" s="56">
        <v>29</v>
      </c>
      <c r="C35" s="96">
        <v>0</v>
      </c>
      <c r="D35" s="58">
        <v>35</v>
      </c>
      <c r="E35" s="57">
        <v>12</v>
      </c>
      <c r="F35" s="53"/>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c r="AO35" s="38"/>
      <c r="AP35" s="38"/>
      <c r="AQ35" s="38"/>
    </row>
    <row r="36" spans="2:43" s="40" customFormat="1" ht="23.25" customHeight="1" x14ac:dyDescent="0.3">
      <c r="B36" s="56">
        <v>30</v>
      </c>
      <c r="C36" s="96">
        <v>0</v>
      </c>
      <c r="D36" s="58">
        <v>39</v>
      </c>
      <c r="E36" s="57">
        <v>12</v>
      </c>
      <c r="F36" s="53"/>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row>
    <row r="37" spans="2:43" s="40" customFormat="1" ht="23.25" customHeight="1" thickBot="1" x14ac:dyDescent="0.35">
      <c r="B37" s="89">
        <v>31</v>
      </c>
      <c r="C37" s="96">
        <v>0</v>
      </c>
      <c r="D37" s="90">
        <v>41</v>
      </c>
      <c r="E37" s="58">
        <v>16</v>
      </c>
      <c r="F37" s="53"/>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row>
    <row r="38" spans="2:43" s="40" customFormat="1" ht="23.25" customHeight="1" thickBot="1" x14ac:dyDescent="0.3">
      <c r="B38" s="92" t="s">
        <v>3</v>
      </c>
      <c r="C38" s="93">
        <f>SUM(C7:C37)</f>
        <v>0</v>
      </c>
      <c r="D38" s="93">
        <f>SUM(D7:D37)</f>
        <v>1233</v>
      </c>
      <c r="E38" s="94">
        <f>SUM(E7:E37)</f>
        <v>456</v>
      </c>
      <c r="F38" s="53"/>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row>
    <row r="39" spans="2:43" s="40" customFormat="1" ht="23.25" customHeight="1" x14ac:dyDescent="0.25">
      <c r="B39" s="37"/>
      <c r="C39" s="38"/>
      <c r="D39" s="38"/>
      <c r="E39" s="38"/>
      <c r="F39" s="53"/>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row>
    <row r="40" spans="2:43" s="40" customFormat="1" ht="23.25" customHeight="1" x14ac:dyDescent="0.25">
      <c r="B40" s="37"/>
      <c r="C40" s="38"/>
      <c r="D40" s="38"/>
      <c r="E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row>
    <row r="42" spans="2:43" ht="17.399999999999999" x14ac:dyDescent="0.25">
      <c r="G42" s="40"/>
      <c r="H42" s="40"/>
    </row>
  </sheetData>
  <mergeCells count="13">
    <mergeCell ref="B2:E2"/>
    <mergeCell ref="G2:AP2"/>
    <mergeCell ref="B3:E3"/>
    <mergeCell ref="B4:B6"/>
    <mergeCell ref="C4:E4"/>
    <mergeCell ref="C5:E5"/>
    <mergeCell ref="H5:AO6"/>
    <mergeCell ref="H7:H11"/>
    <mergeCell ref="K7:AO7"/>
    <mergeCell ref="I8:J8"/>
    <mergeCell ref="I9:J9"/>
    <mergeCell ref="I10:J10"/>
    <mergeCell ref="I11:J11"/>
  </mergeCells>
  <pageMargins left="0.75" right="0.75" top="1" bottom="1" header="0" footer="0"/>
  <pageSetup paperSize="9" scale="26" orientation="landscape" horizontalDpi="300" verticalDpi="300"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DDED3-17E8-4D74-B250-EEC6308F2E36}">
  <sheetPr codeName="Hoja13">
    <pageSetUpPr fitToPage="1"/>
  </sheetPr>
  <dimension ref="B1:AQ42"/>
  <sheetViews>
    <sheetView zoomScale="70" zoomScaleNormal="70" workbookViewId="0">
      <selection activeCell="AX18" sqref="AX18"/>
    </sheetView>
  </sheetViews>
  <sheetFormatPr baseColWidth="10" defaultColWidth="11.44140625" defaultRowHeight="13.2" x14ac:dyDescent="0.25"/>
  <cols>
    <col min="1" max="1" width="2.21875" style="38" customWidth="1"/>
    <col min="2" max="2" width="11.77734375" style="37" customWidth="1"/>
    <col min="3" max="5" width="12.77734375" style="38" customWidth="1"/>
    <col min="6" max="6" width="5.77734375" style="38" customWidth="1"/>
    <col min="7" max="7" width="6.21875" style="38" customWidth="1"/>
    <col min="8" max="8" width="4" style="38" customWidth="1"/>
    <col min="9" max="9" width="6.21875" style="38" customWidth="1"/>
    <col min="10" max="10" width="5" style="38" customWidth="1"/>
    <col min="11" max="11" width="4.77734375" style="38" customWidth="1"/>
    <col min="12" max="12" width="5" style="38" customWidth="1"/>
    <col min="13" max="31" width="3.77734375" style="38" customWidth="1"/>
    <col min="32" max="32" width="4.77734375" style="38" customWidth="1"/>
    <col min="33" max="33" width="3.77734375" style="38" customWidth="1"/>
    <col min="34" max="42" width="4.77734375" style="38" bestFit="1" customWidth="1"/>
    <col min="43" max="43" width="3.77734375" style="38" customWidth="1"/>
    <col min="44" max="44" width="7.77734375" style="38" customWidth="1"/>
    <col min="45" max="16384" width="11.44140625" style="38"/>
  </cols>
  <sheetData>
    <row r="1" spans="2:43" ht="11.25" customHeight="1" thickBot="1" x14ac:dyDescent="0.3"/>
    <row r="2" spans="2:43" ht="50.25" customHeight="1" thickBot="1" x14ac:dyDescent="0.3">
      <c r="B2" s="380" t="s">
        <v>88</v>
      </c>
      <c r="C2" s="380"/>
      <c r="D2" s="380"/>
      <c r="E2" s="380"/>
      <c r="G2" s="394" t="s">
        <v>6</v>
      </c>
      <c r="H2" s="395"/>
      <c r="I2" s="395"/>
      <c r="J2" s="395"/>
      <c r="K2" s="395"/>
      <c r="L2" s="395"/>
      <c r="M2" s="395"/>
      <c r="N2" s="395"/>
      <c r="O2" s="395"/>
      <c r="P2" s="395"/>
      <c r="Q2" s="395"/>
      <c r="R2" s="395"/>
      <c r="S2" s="395"/>
      <c r="T2" s="395"/>
      <c r="U2" s="395"/>
      <c r="V2" s="395"/>
      <c r="W2" s="395"/>
      <c r="X2" s="395"/>
      <c r="Y2" s="395"/>
      <c r="Z2" s="395"/>
      <c r="AA2" s="395"/>
      <c r="AB2" s="395"/>
      <c r="AC2" s="395"/>
      <c r="AD2" s="395"/>
      <c r="AE2" s="395"/>
      <c r="AF2" s="395"/>
      <c r="AG2" s="395"/>
      <c r="AH2" s="395"/>
      <c r="AI2" s="395"/>
      <c r="AJ2" s="395"/>
      <c r="AK2" s="395"/>
      <c r="AL2" s="395"/>
      <c r="AM2" s="395"/>
      <c r="AN2" s="395"/>
      <c r="AO2" s="395"/>
      <c r="AP2" s="396"/>
    </row>
    <row r="3" spans="2:43" ht="24" customHeight="1" thickBot="1" x14ac:dyDescent="0.3">
      <c r="B3" s="379">
        <v>45139</v>
      </c>
      <c r="C3" s="379"/>
      <c r="D3" s="379"/>
      <c r="E3" s="379"/>
      <c r="F3" s="40"/>
      <c r="G3" s="41"/>
      <c r="H3" s="42"/>
      <c r="I3" s="42"/>
      <c r="J3" s="42"/>
      <c r="K3" s="39"/>
      <c r="L3" s="39"/>
      <c r="M3" s="39"/>
      <c r="N3" s="39"/>
      <c r="O3" s="39"/>
      <c r="P3" s="39"/>
      <c r="Q3" s="39"/>
      <c r="R3" s="39"/>
      <c r="S3" s="39"/>
      <c r="T3" s="39"/>
      <c r="U3" s="39"/>
      <c r="V3" s="39"/>
      <c r="W3" s="39"/>
      <c r="X3" s="39"/>
      <c r="Y3" s="39"/>
      <c r="Z3" s="39"/>
      <c r="AA3" s="39"/>
      <c r="AB3" s="39"/>
      <c r="AC3" s="39"/>
      <c r="AD3" s="39"/>
      <c r="AE3" s="39"/>
      <c r="AF3" s="39"/>
      <c r="AG3" s="39"/>
      <c r="AH3" s="39"/>
      <c r="AI3" s="39"/>
      <c r="AJ3" s="39"/>
      <c r="AK3" s="39"/>
      <c r="AL3" s="39"/>
      <c r="AM3" s="39"/>
      <c r="AN3" s="39"/>
      <c r="AO3" s="39"/>
      <c r="AP3" s="43"/>
    </row>
    <row r="4" spans="2:43" ht="33.75" customHeight="1" thickBot="1" x14ac:dyDescent="0.3">
      <c r="B4" s="377" t="s">
        <v>10</v>
      </c>
      <c r="C4" s="381" t="s">
        <v>7</v>
      </c>
      <c r="D4" s="381"/>
      <c r="E4" s="381"/>
      <c r="F4" s="40"/>
      <c r="G4" s="41"/>
      <c r="H4" s="42"/>
      <c r="I4" s="42"/>
      <c r="J4" s="42"/>
      <c r="K4" s="39"/>
      <c r="L4" s="39"/>
      <c r="M4" s="39"/>
      <c r="N4" s="39"/>
      <c r="O4" s="39"/>
      <c r="P4" s="39"/>
      <c r="Q4" s="39"/>
      <c r="R4" s="39"/>
      <c r="S4" s="39"/>
      <c r="T4" s="39"/>
      <c r="U4" s="39"/>
      <c r="V4" s="39"/>
      <c r="W4" s="39"/>
      <c r="X4" s="39"/>
      <c r="Y4" s="39"/>
      <c r="Z4" s="39"/>
      <c r="AA4" s="39"/>
      <c r="AB4" s="39"/>
      <c r="AC4" s="39"/>
      <c r="AD4" s="39"/>
      <c r="AE4" s="39"/>
      <c r="AF4" s="39"/>
      <c r="AG4" s="39"/>
      <c r="AH4" s="39"/>
      <c r="AI4" s="39"/>
      <c r="AJ4" s="39"/>
      <c r="AK4" s="39"/>
      <c r="AL4" s="39"/>
      <c r="AM4" s="39"/>
      <c r="AN4" s="39"/>
      <c r="AO4" s="39"/>
      <c r="AP4" s="43"/>
    </row>
    <row r="5" spans="2:43" ht="23.25" customHeight="1" x14ac:dyDescent="0.25">
      <c r="B5" s="377"/>
      <c r="C5" s="382" t="s">
        <v>9</v>
      </c>
      <c r="D5" s="382"/>
      <c r="E5" s="382"/>
      <c r="G5" s="49"/>
      <c r="H5" s="312" t="s">
        <v>8</v>
      </c>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3"/>
      <c r="AM5" s="313"/>
      <c r="AN5" s="313"/>
      <c r="AO5" s="314"/>
      <c r="AP5" s="48"/>
    </row>
    <row r="6" spans="2:43" ht="23.25" customHeight="1" thickBot="1" x14ac:dyDescent="0.3">
      <c r="B6" s="377" t="s">
        <v>89</v>
      </c>
      <c r="C6" s="50" t="s">
        <v>90</v>
      </c>
      <c r="D6" s="50" t="s">
        <v>7</v>
      </c>
      <c r="E6" s="50" t="s">
        <v>11</v>
      </c>
      <c r="G6" s="49"/>
      <c r="H6" s="373"/>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6"/>
      <c r="AM6" s="316"/>
      <c r="AN6" s="316"/>
      <c r="AO6" s="317"/>
      <c r="AP6" s="48"/>
    </row>
    <row r="7" spans="2:43" s="40" customFormat="1" ht="23.25" customHeight="1" x14ac:dyDescent="0.3">
      <c r="B7" s="95">
        <v>1</v>
      </c>
      <c r="C7" s="153"/>
      <c r="D7" s="51">
        <v>41</v>
      </c>
      <c r="E7" s="57">
        <v>16</v>
      </c>
      <c r="F7" s="53"/>
      <c r="G7" s="45"/>
      <c r="H7" s="385">
        <f>B3</f>
        <v>45139</v>
      </c>
      <c r="I7" s="147"/>
      <c r="J7" s="54"/>
      <c r="K7" s="365" t="s">
        <v>2</v>
      </c>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55"/>
    </row>
    <row r="8" spans="2:43" s="40" customFormat="1" ht="23.25" customHeight="1" x14ac:dyDescent="0.3">
      <c r="B8" s="56">
        <v>2</v>
      </c>
      <c r="C8" s="153"/>
      <c r="D8" s="58">
        <v>41</v>
      </c>
      <c r="E8" s="57">
        <v>16</v>
      </c>
      <c r="F8" s="53"/>
      <c r="G8" s="45"/>
      <c r="H8" s="386"/>
      <c r="I8" s="389"/>
      <c r="J8" s="368"/>
      <c r="K8" s="100">
        <v>1</v>
      </c>
      <c r="L8" s="100">
        <v>2</v>
      </c>
      <c r="M8" s="100">
        <v>3</v>
      </c>
      <c r="N8" s="100">
        <v>4</v>
      </c>
      <c r="O8" s="100">
        <v>5</v>
      </c>
      <c r="P8" s="100">
        <v>6</v>
      </c>
      <c r="Q8" s="100">
        <v>7</v>
      </c>
      <c r="R8" s="100">
        <v>8</v>
      </c>
      <c r="S8" s="100">
        <v>9</v>
      </c>
      <c r="T8" s="100">
        <v>10</v>
      </c>
      <c r="U8" s="100">
        <v>11</v>
      </c>
      <c r="V8" s="100">
        <v>12</v>
      </c>
      <c r="W8" s="100">
        <v>13</v>
      </c>
      <c r="X8" s="100">
        <v>14</v>
      </c>
      <c r="Y8" s="100">
        <v>15</v>
      </c>
      <c r="Z8" s="100">
        <v>16</v>
      </c>
      <c r="AA8" s="100">
        <v>17</v>
      </c>
      <c r="AB8" s="100">
        <v>18</v>
      </c>
      <c r="AC8" s="100">
        <v>19</v>
      </c>
      <c r="AD8" s="100">
        <v>20</v>
      </c>
      <c r="AE8" s="100">
        <v>21</v>
      </c>
      <c r="AF8" s="100">
        <v>22</v>
      </c>
      <c r="AG8" s="100">
        <v>23</v>
      </c>
      <c r="AH8" s="100">
        <v>24</v>
      </c>
      <c r="AI8" s="100">
        <v>25</v>
      </c>
      <c r="AJ8" s="100">
        <v>26</v>
      </c>
      <c r="AK8" s="100">
        <v>27</v>
      </c>
      <c r="AL8" s="100">
        <v>28</v>
      </c>
      <c r="AM8" s="100">
        <v>29</v>
      </c>
      <c r="AN8" s="100">
        <v>30</v>
      </c>
      <c r="AO8" s="148">
        <v>31</v>
      </c>
      <c r="AP8" s="55"/>
    </row>
    <row r="9" spans="2:43" s="40" customFormat="1" ht="23.25" customHeight="1" x14ac:dyDescent="0.3">
      <c r="B9" s="56">
        <v>3</v>
      </c>
      <c r="C9" s="153"/>
      <c r="D9" s="58">
        <v>41</v>
      </c>
      <c r="E9" s="57">
        <v>16</v>
      </c>
      <c r="F9" s="53"/>
      <c r="G9" s="45"/>
      <c r="H9" s="386"/>
      <c r="I9" s="390" t="s">
        <v>7</v>
      </c>
      <c r="J9" s="378"/>
      <c r="K9" s="61">
        <f t="array" ref="K9:AO9">TRANSPOSE(D7:D37)</f>
        <v>41</v>
      </c>
      <c r="L9" s="61">
        <v>41</v>
      </c>
      <c r="M9" s="61">
        <v>41</v>
      </c>
      <c r="N9" s="61">
        <v>42</v>
      </c>
      <c r="O9" s="61">
        <v>35</v>
      </c>
      <c r="P9" s="61">
        <v>38</v>
      </c>
      <c r="Q9" s="61">
        <v>41</v>
      </c>
      <c r="R9" s="61">
        <v>41</v>
      </c>
      <c r="S9" s="61">
        <v>41</v>
      </c>
      <c r="T9" s="61">
        <v>41</v>
      </c>
      <c r="U9" s="61">
        <v>42</v>
      </c>
      <c r="V9" s="61">
        <v>35</v>
      </c>
      <c r="W9" s="61">
        <v>37</v>
      </c>
      <c r="X9" s="61">
        <v>41</v>
      </c>
      <c r="Y9" s="61">
        <v>41</v>
      </c>
      <c r="Z9" s="61">
        <v>41</v>
      </c>
      <c r="AA9" s="61">
        <v>41</v>
      </c>
      <c r="AB9" s="61">
        <v>42</v>
      </c>
      <c r="AC9" s="61">
        <v>35</v>
      </c>
      <c r="AD9" s="61">
        <v>38</v>
      </c>
      <c r="AE9" s="61">
        <v>41</v>
      </c>
      <c r="AF9" s="61">
        <v>41</v>
      </c>
      <c r="AG9" s="61">
        <v>41</v>
      </c>
      <c r="AH9" s="61">
        <v>41</v>
      </c>
      <c r="AI9" s="61">
        <v>42</v>
      </c>
      <c r="AJ9" s="61">
        <v>35</v>
      </c>
      <c r="AK9" s="61">
        <v>38</v>
      </c>
      <c r="AL9" s="61">
        <v>41</v>
      </c>
      <c r="AM9" s="61">
        <v>41</v>
      </c>
      <c r="AN9" s="61">
        <v>40</v>
      </c>
      <c r="AO9" s="149">
        <v>41</v>
      </c>
      <c r="AP9" s="62" t="e">
        <f>SUM(#REF!)</f>
        <v>#REF!</v>
      </c>
    </row>
    <row r="10" spans="2:43" s="40" customFormat="1" ht="23.25" customHeight="1" x14ac:dyDescent="0.3">
      <c r="B10" s="56">
        <v>4</v>
      </c>
      <c r="C10" s="153"/>
      <c r="D10" s="58">
        <v>42</v>
      </c>
      <c r="E10" s="57">
        <v>16</v>
      </c>
      <c r="F10" s="53"/>
      <c r="G10" s="45"/>
      <c r="H10" s="386"/>
      <c r="I10" s="391" t="s">
        <v>11</v>
      </c>
      <c r="J10" s="370"/>
      <c r="K10" s="63">
        <f t="array" ref="K10:AO10">TRANSPOSE(E7:E37)</f>
        <v>16</v>
      </c>
      <c r="L10" s="63">
        <v>16</v>
      </c>
      <c r="M10" s="63">
        <v>16</v>
      </c>
      <c r="N10" s="63">
        <v>16</v>
      </c>
      <c r="O10" s="63">
        <v>12</v>
      </c>
      <c r="P10" s="63">
        <v>12</v>
      </c>
      <c r="Q10" s="63">
        <v>16</v>
      </c>
      <c r="R10" s="63">
        <v>16</v>
      </c>
      <c r="S10" s="63">
        <v>16</v>
      </c>
      <c r="T10" s="63">
        <v>16</v>
      </c>
      <c r="U10" s="63">
        <v>16</v>
      </c>
      <c r="V10" s="63">
        <v>12</v>
      </c>
      <c r="W10" s="63">
        <v>12</v>
      </c>
      <c r="X10" s="63">
        <v>16</v>
      </c>
      <c r="Y10" s="63">
        <v>16</v>
      </c>
      <c r="Z10" s="63">
        <v>16</v>
      </c>
      <c r="AA10" s="63">
        <v>16</v>
      </c>
      <c r="AB10" s="63">
        <v>16</v>
      </c>
      <c r="AC10" s="63">
        <v>12</v>
      </c>
      <c r="AD10" s="63">
        <v>12</v>
      </c>
      <c r="AE10" s="63">
        <v>16</v>
      </c>
      <c r="AF10" s="63">
        <v>16</v>
      </c>
      <c r="AG10" s="63">
        <v>16</v>
      </c>
      <c r="AH10" s="63">
        <v>16</v>
      </c>
      <c r="AI10" s="63">
        <v>16</v>
      </c>
      <c r="AJ10" s="63">
        <v>12</v>
      </c>
      <c r="AK10" s="63">
        <v>12</v>
      </c>
      <c r="AL10" s="63">
        <v>16</v>
      </c>
      <c r="AM10" s="63">
        <v>16</v>
      </c>
      <c r="AN10" s="63">
        <v>16</v>
      </c>
      <c r="AO10" s="150">
        <v>16</v>
      </c>
      <c r="AP10" s="55"/>
    </row>
    <row r="11" spans="2:43" s="40" customFormat="1" ht="23.25" customHeight="1" thickBot="1" x14ac:dyDescent="0.35">
      <c r="B11" s="56">
        <v>5</v>
      </c>
      <c r="C11" s="153"/>
      <c r="D11" s="58">
        <v>35</v>
      </c>
      <c r="E11" s="57">
        <v>12</v>
      </c>
      <c r="F11" s="53"/>
      <c r="G11" s="45"/>
      <c r="H11" s="387"/>
      <c r="I11" s="392" t="s">
        <v>3</v>
      </c>
      <c r="J11" s="393"/>
      <c r="K11" s="151">
        <f>K9+K10</f>
        <v>57</v>
      </c>
      <c r="L11" s="151">
        <f t="shared" ref="L11:AO11" si="0">L9+L10</f>
        <v>57</v>
      </c>
      <c r="M11" s="151">
        <f t="shared" si="0"/>
        <v>57</v>
      </c>
      <c r="N11" s="151">
        <f t="shared" si="0"/>
        <v>58</v>
      </c>
      <c r="O11" s="151">
        <f t="shared" si="0"/>
        <v>47</v>
      </c>
      <c r="P11" s="151">
        <f t="shared" si="0"/>
        <v>50</v>
      </c>
      <c r="Q11" s="151">
        <f t="shared" si="0"/>
        <v>57</v>
      </c>
      <c r="R11" s="151">
        <f t="shared" si="0"/>
        <v>57</v>
      </c>
      <c r="S11" s="151">
        <f t="shared" si="0"/>
        <v>57</v>
      </c>
      <c r="T11" s="151">
        <f t="shared" si="0"/>
        <v>57</v>
      </c>
      <c r="U11" s="151">
        <f t="shared" si="0"/>
        <v>58</v>
      </c>
      <c r="V11" s="151">
        <f t="shared" si="0"/>
        <v>47</v>
      </c>
      <c r="W11" s="151">
        <f t="shared" si="0"/>
        <v>49</v>
      </c>
      <c r="X11" s="151">
        <f t="shared" si="0"/>
        <v>57</v>
      </c>
      <c r="Y11" s="151">
        <f t="shared" si="0"/>
        <v>57</v>
      </c>
      <c r="Z11" s="151">
        <f t="shared" si="0"/>
        <v>57</v>
      </c>
      <c r="AA11" s="151">
        <f t="shared" si="0"/>
        <v>57</v>
      </c>
      <c r="AB11" s="151">
        <f t="shared" si="0"/>
        <v>58</v>
      </c>
      <c r="AC11" s="151">
        <f t="shared" si="0"/>
        <v>47</v>
      </c>
      <c r="AD11" s="151">
        <f t="shared" si="0"/>
        <v>50</v>
      </c>
      <c r="AE11" s="151">
        <f t="shared" si="0"/>
        <v>57</v>
      </c>
      <c r="AF11" s="151">
        <f t="shared" si="0"/>
        <v>57</v>
      </c>
      <c r="AG11" s="151">
        <f t="shared" si="0"/>
        <v>57</v>
      </c>
      <c r="AH11" s="151">
        <f t="shared" si="0"/>
        <v>57</v>
      </c>
      <c r="AI11" s="151">
        <f t="shared" si="0"/>
        <v>58</v>
      </c>
      <c r="AJ11" s="151">
        <f t="shared" si="0"/>
        <v>47</v>
      </c>
      <c r="AK11" s="151">
        <f t="shared" si="0"/>
        <v>50</v>
      </c>
      <c r="AL11" s="151">
        <f t="shared" si="0"/>
        <v>57</v>
      </c>
      <c r="AM11" s="151">
        <f t="shared" si="0"/>
        <v>57</v>
      </c>
      <c r="AN11" s="151">
        <f t="shared" si="0"/>
        <v>56</v>
      </c>
      <c r="AO11" s="152">
        <f t="shared" si="0"/>
        <v>57</v>
      </c>
      <c r="AP11" s="55"/>
    </row>
    <row r="12" spans="2:43" s="40" customFormat="1" ht="23.25" customHeight="1" x14ac:dyDescent="0.3">
      <c r="B12" s="56">
        <v>6</v>
      </c>
      <c r="C12" s="153"/>
      <c r="D12" s="58">
        <v>38</v>
      </c>
      <c r="E12" s="57">
        <v>12</v>
      </c>
      <c r="F12" s="53"/>
      <c r="G12" s="45"/>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c r="AM12" s="46"/>
      <c r="AN12" s="46"/>
      <c r="AO12" s="46"/>
      <c r="AP12" s="55"/>
    </row>
    <row r="13" spans="2:43" s="40" customFormat="1" ht="23.25" customHeight="1" x14ac:dyDescent="0.3">
      <c r="B13" s="56">
        <v>7</v>
      </c>
      <c r="C13" s="153"/>
      <c r="D13" s="58">
        <v>41</v>
      </c>
      <c r="E13" s="57">
        <v>16</v>
      </c>
      <c r="F13" s="53"/>
      <c r="G13" s="45"/>
      <c r="H13" s="46"/>
      <c r="I13" s="46"/>
      <c r="J13" s="46"/>
      <c r="K13" s="46"/>
      <c r="L13" s="46"/>
      <c r="M13" s="46"/>
      <c r="N13" s="46"/>
      <c r="O13" s="46"/>
      <c r="P13" s="46"/>
      <c r="Q13" s="46"/>
      <c r="R13" s="46"/>
      <c r="S13" s="46"/>
      <c r="T13" s="46"/>
      <c r="U13" s="46"/>
      <c r="V13" s="46"/>
      <c r="W13" s="46"/>
      <c r="X13" s="46"/>
      <c r="Y13" s="46"/>
      <c r="Z13" s="46"/>
      <c r="AA13" s="46"/>
      <c r="AB13" s="46"/>
      <c r="AC13" s="46"/>
      <c r="AD13" s="46"/>
      <c r="AE13" s="46"/>
      <c r="AF13" s="46"/>
      <c r="AG13" s="46"/>
      <c r="AH13" s="46"/>
      <c r="AI13" s="46"/>
      <c r="AJ13" s="46"/>
      <c r="AK13" s="46"/>
      <c r="AL13" s="46"/>
      <c r="AM13" s="46"/>
      <c r="AN13" s="46"/>
      <c r="AO13" s="46"/>
      <c r="AP13" s="55"/>
    </row>
    <row r="14" spans="2:43" s="40" customFormat="1" ht="23.25" customHeight="1" thickBot="1" x14ac:dyDescent="0.35">
      <c r="B14" s="56">
        <v>8</v>
      </c>
      <c r="C14" s="153"/>
      <c r="D14" s="58">
        <v>41</v>
      </c>
      <c r="E14" s="57">
        <v>16</v>
      </c>
      <c r="F14" s="53"/>
      <c r="G14" s="71"/>
      <c r="H14" s="73"/>
      <c r="I14" s="73"/>
      <c r="J14" s="73"/>
      <c r="K14" s="73"/>
      <c r="L14" s="73"/>
      <c r="M14" s="73"/>
      <c r="N14" s="73"/>
      <c r="O14" s="73"/>
      <c r="P14" s="73"/>
      <c r="Q14" s="73"/>
      <c r="R14" s="73"/>
      <c r="S14" s="73"/>
      <c r="T14" s="73"/>
      <c r="U14" s="73"/>
      <c r="V14" s="73"/>
      <c r="W14" s="73"/>
      <c r="X14" s="73"/>
      <c r="Y14" s="73"/>
      <c r="Z14" s="73"/>
      <c r="AA14" s="73"/>
      <c r="AB14" s="73"/>
      <c r="AC14" s="73"/>
      <c r="AD14" s="73"/>
      <c r="AE14" s="73"/>
      <c r="AF14" s="73"/>
      <c r="AG14" s="73"/>
      <c r="AH14" s="73"/>
      <c r="AI14" s="73"/>
      <c r="AJ14" s="73"/>
      <c r="AK14" s="73"/>
      <c r="AL14" s="73"/>
      <c r="AM14" s="73"/>
      <c r="AN14" s="73"/>
      <c r="AO14" s="73"/>
      <c r="AP14" s="72"/>
    </row>
    <row r="15" spans="2:43" s="40" customFormat="1" ht="23.25" customHeight="1" x14ac:dyDescent="0.3">
      <c r="B15" s="56">
        <v>9</v>
      </c>
      <c r="C15" s="153"/>
      <c r="D15" s="58">
        <v>41</v>
      </c>
      <c r="E15" s="57">
        <v>16</v>
      </c>
      <c r="F15" s="53"/>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23.25" customHeight="1" x14ac:dyDescent="0.3">
      <c r="B16" s="56">
        <v>10</v>
      </c>
      <c r="C16" s="153"/>
      <c r="D16" s="58">
        <v>41</v>
      </c>
      <c r="E16" s="57">
        <v>16</v>
      </c>
      <c r="F16" s="53"/>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23.25" customHeight="1" x14ac:dyDescent="0.3">
      <c r="B17" s="56">
        <v>11</v>
      </c>
      <c r="C17" s="153"/>
      <c r="D17" s="58">
        <v>42</v>
      </c>
      <c r="E17" s="57">
        <v>16</v>
      </c>
      <c r="F17" s="53"/>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23.25" customHeight="1" x14ac:dyDescent="0.3">
      <c r="B18" s="56">
        <v>12</v>
      </c>
      <c r="C18" s="153"/>
      <c r="D18" s="58">
        <v>35</v>
      </c>
      <c r="E18" s="57">
        <v>12</v>
      </c>
      <c r="F18" s="53"/>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row>
    <row r="19" spans="2:43" s="40" customFormat="1" ht="23.25" customHeight="1" x14ac:dyDescent="0.3">
      <c r="B19" s="56">
        <v>13</v>
      </c>
      <c r="C19" s="153"/>
      <c r="D19" s="58">
        <v>37</v>
      </c>
      <c r="E19" s="57">
        <v>12</v>
      </c>
      <c r="F19" s="53"/>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row>
    <row r="20" spans="2:43" s="40" customFormat="1" ht="23.25" customHeight="1" x14ac:dyDescent="0.3">
      <c r="B20" s="56">
        <v>14</v>
      </c>
      <c r="C20" s="153"/>
      <c r="D20" s="58">
        <v>41</v>
      </c>
      <c r="E20" s="57">
        <v>16</v>
      </c>
      <c r="F20" s="53"/>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c r="AO20" s="38"/>
      <c r="AP20" s="38"/>
      <c r="AQ20" s="38"/>
    </row>
    <row r="21" spans="2:43" s="40" customFormat="1" ht="23.25" customHeight="1" x14ac:dyDescent="0.3">
      <c r="B21" s="56">
        <v>15</v>
      </c>
      <c r="C21" s="153"/>
      <c r="D21" s="58">
        <v>41</v>
      </c>
      <c r="E21" s="57">
        <v>16</v>
      </c>
      <c r="F21" s="53"/>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c r="AO21" s="38"/>
      <c r="AP21" s="38"/>
      <c r="AQ21" s="38"/>
    </row>
    <row r="22" spans="2:43" s="40" customFormat="1" ht="23.25" customHeight="1" x14ac:dyDescent="0.3">
      <c r="B22" s="56">
        <v>16</v>
      </c>
      <c r="C22" s="153"/>
      <c r="D22" s="58">
        <v>41</v>
      </c>
      <c r="E22" s="57">
        <v>16</v>
      </c>
      <c r="F22" s="53"/>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c r="AO22" s="38"/>
      <c r="AP22" s="38"/>
      <c r="AQ22" s="38"/>
    </row>
    <row r="23" spans="2:43" s="40" customFormat="1" ht="23.25" customHeight="1" x14ac:dyDescent="0.3">
      <c r="B23" s="56">
        <v>17</v>
      </c>
      <c r="C23" s="153"/>
      <c r="D23" s="58">
        <v>41</v>
      </c>
      <c r="E23" s="57">
        <v>16</v>
      </c>
      <c r="F23" s="53"/>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row>
    <row r="24" spans="2:43" s="40" customFormat="1" ht="23.25" customHeight="1" x14ac:dyDescent="0.3">
      <c r="B24" s="56">
        <v>18</v>
      </c>
      <c r="C24" s="153"/>
      <c r="D24" s="58">
        <v>42</v>
      </c>
      <c r="E24" s="57">
        <v>16</v>
      </c>
      <c r="F24" s="53"/>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c r="AO24" s="38"/>
      <c r="AP24" s="38"/>
      <c r="AQ24" s="38"/>
    </row>
    <row r="25" spans="2:43" s="40" customFormat="1" ht="23.25" customHeight="1" x14ac:dyDescent="0.3">
      <c r="B25" s="56">
        <v>19</v>
      </c>
      <c r="C25" s="153"/>
      <c r="D25" s="58">
        <v>35</v>
      </c>
      <c r="E25" s="57">
        <v>12</v>
      </c>
      <c r="F25" s="53"/>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c r="AO25" s="38"/>
      <c r="AP25" s="38"/>
      <c r="AQ25" s="38"/>
    </row>
    <row r="26" spans="2:43" s="40" customFormat="1" ht="23.25" customHeight="1" x14ac:dyDescent="0.3">
      <c r="B26" s="56">
        <v>20</v>
      </c>
      <c r="C26" s="153"/>
      <c r="D26" s="58">
        <v>38</v>
      </c>
      <c r="E26" s="57">
        <v>12</v>
      </c>
      <c r="F26" s="53"/>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c r="AO26" s="38"/>
      <c r="AP26" s="38"/>
      <c r="AQ26" s="38"/>
    </row>
    <row r="27" spans="2:43" s="40" customFormat="1" ht="23.25" customHeight="1" x14ac:dyDescent="0.3">
      <c r="B27" s="56">
        <v>21</v>
      </c>
      <c r="C27" s="153"/>
      <c r="D27" s="58">
        <v>41</v>
      </c>
      <c r="E27" s="57">
        <v>16</v>
      </c>
      <c r="F27" s="53"/>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c r="AO27" s="38"/>
      <c r="AP27" s="38"/>
      <c r="AQ27" s="38"/>
    </row>
    <row r="28" spans="2:43" s="40" customFormat="1" ht="23.25" customHeight="1" x14ac:dyDescent="0.3">
      <c r="B28" s="56">
        <v>22</v>
      </c>
      <c r="C28" s="153"/>
      <c r="D28" s="58">
        <v>41</v>
      </c>
      <c r="E28" s="57">
        <v>16</v>
      </c>
      <c r="F28" s="53"/>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row>
    <row r="29" spans="2:43" s="40" customFormat="1" ht="23.25" customHeight="1" x14ac:dyDescent="0.3">
      <c r="B29" s="56">
        <v>23</v>
      </c>
      <c r="C29" s="153"/>
      <c r="D29" s="58">
        <v>41</v>
      </c>
      <c r="E29" s="57">
        <v>16</v>
      </c>
      <c r="F29" s="53"/>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c r="AO29" s="38"/>
      <c r="AP29" s="38"/>
      <c r="AQ29" s="38"/>
    </row>
    <row r="30" spans="2:43" s="40" customFormat="1" ht="23.25" customHeight="1" x14ac:dyDescent="0.3">
      <c r="B30" s="56">
        <v>24</v>
      </c>
      <c r="C30" s="153"/>
      <c r="D30" s="58">
        <v>41</v>
      </c>
      <c r="E30" s="57">
        <v>16</v>
      </c>
      <c r="F30" s="53"/>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c r="AO30" s="38"/>
      <c r="AP30" s="38"/>
      <c r="AQ30" s="38"/>
    </row>
    <row r="31" spans="2:43" s="40" customFormat="1" ht="23.25" customHeight="1" x14ac:dyDescent="0.3">
      <c r="B31" s="56">
        <v>25</v>
      </c>
      <c r="C31" s="153"/>
      <c r="D31" s="58">
        <v>42</v>
      </c>
      <c r="E31" s="57">
        <v>16</v>
      </c>
      <c r="F31" s="53"/>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c r="AO31" s="38"/>
      <c r="AP31" s="38"/>
      <c r="AQ31" s="38"/>
    </row>
    <row r="32" spans="2:43" s="40" customFormat="1" ht="23.25" customHeight="1" x14ac:dyDescent="0.3">
      <c r="B32" s="56">
        <v>26</v>
      </c>
      <c r="C32" s="153"/>
      <c r="D32" s="58">
        <v>35</v>
      </c>
      <c r="E32" s="57">
        <v>12</v>
      </c>
      <c r="F32" s="53"/>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c r="AO32" s="38"/>
      <c r="AP32" s="38"/>
      <c r="AQ32" s="38"/>
    </row>
    <row r="33" spans="2:43" s="40" customFormat="1" ht="23.25" customHeight="1" x14ac:dyDescent="0.3">
      <c r="B33" s="56">
        <v>27</v>
      </c>
      <c r="C33" s="153"/>
      <c r="D33" s="58">
        <v>38</v>
      </c>
      <c r="E33" s="57">
        <v>12</v>
      </c>
      <c r="F33" s="53"/>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row>
    <row r="34" spans="2:43" s="40" customFormat="1" ht="23.25" customHeight="1" x14ac:dyDescent="0.3">
      <c r="B34" s="56">
        <v>28</v>
      </c>
      <c r="C34" s="153"/>
      <c r="D34" s="58">
        <v>41</v>
      </c>
      <c r="E34" s="57">
        <v>16</v>
      </c>
      <c r="F34" s="53"/>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c r="AO34" s="38"/>
      <c r="AP34" s="38"/>
      <c r="AQ34" s="38"/>
    </row>
    <row r="35" spans="2:43" s="40" customFormat="1" ht="23.25" customHeight="1" x14ac:dyDescent="0.3">
      <c r="B35" s="56">
        <v>29</v>
      </c>
      <c r="C35" s="153"/>
      <c r="D35" s="58">
        <v>41</v>
      </c>
      <c r="E35" s="57">
        <v>16</v>
      </c>
      <c r="F35" s="53"/>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c r="AO35" s="38"/>
      <c r="AP35" s="38"/>
      <c r="AQ35" s="38"/>
    </row>
    <row r="36" spans="2:43" s="40" customFormat="1" ht="23.25" customHeight="1" x14ac:dyDescent="0.3">
      <c r="B36" s="56">
        <v>30</v>
      </c>
      <c r="C36" s="153"/>
      <c r="D36" s="58">
        <v>40</v>
      </c>
      <c r="E36" s="57">
        <v>16</v>
      </c>
      <c r="F36" s="53"/>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row>
    <row r="37" spans="2:43" s="40" customFormat="1" ht="23.25" customHeight="1" thickBot="1" x14ac:dyDescent="0.35">
      <c r="B37" s="89">
        <v>31</v>
      </c>
      <c r="C37" s="153"/>
      <c r="D37" s="90">
        <v>41</v>
      </c>
      <c r="E37" s="58">
        <v>16</v>
      </c>
      <c r="F37" s="53"/>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row>
    <row r="38" spans="2:43" s="40" customFormat="1" ht="23.25" customHeight="1" thickBot="1" x14ac:dyDescent="0.3">
      <c r="B38" s="92" t="s">
        <v>3</v>
      </c>
      <c r="C38" s="93">
        <f>SUM(C7:C37)</f>
        <v>0</v>
      </c>
      <c r="D38" s="93">
        <f>SUM(D7:D37)</f>
        <v>1237</v>
      </c>
      <c r="E38" s="94">
        <f>SUM(E7:E37)</f>
        <v>464</v>
      </c>
      <c r="F38" s="53"/>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row>
    <row r="39" spans="2:43" s="40" customFormat="1" ht="23.25" customHeight="1" x14ac:dyDescent="0.25">
      <c r="B39" s="37"/>
      <c r="C39" s="38"/>
      <c r="D39" s="38"/>
      <c r="E39" s="38"/>
      <c r="F39" s="53"/>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c r="AP39" s="38"/>
      <c r="AQ39" s="38"/>
    </row>
    <row r="40" spans="2:43" s="40" customFormat="1" ht="23.25" customHeight="1" x14ac:dyDescent="0.25">
      <c r="B40" s="37"/>
      <c r="C40" s="38"/>
      <c r="D40" s="38"/>
      <c r="E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c r="AP40" s="38"/>
      <c r="AQ40" s="38"/>
    </row>
    <row r="42" spans="2:43" ht="17.399999999999999" x14ac:dyDescent="0.25">
      <c r="G42" s="40"/>
      <c r="H42" s="40"/>
    </row>
  </sheetData>
  <mergeCells count="13">
    <mergeCell ref="H7:H11"/>
    <mergeCell ref="K7:AO7"/>
    <mergeCell ref="I8:J8"/>
    <mergeCell ref="I9:J9"/>
    <mergeCell ref="I10:J10"/>
    <mergeCell ref="I11:J11"/>
    <mergeCell ref="B2:E2"/>
    <mergeCell ref="G2:AP2"/>
    <mergeCell ref="B3:E3"/>
    <mergeCell ref="B4:B6"/>
    <mergeCell ref="C4:E4"/>
    <mergeCell ref="C5:E5"/>
    <mergeCell ref="H5:AO6"/>
  </mergeCells>
  <pageMargins left="0.75" right="0.75" top="1" bottom="1" header="0" footer="0"/>
  <pageSetup paperSize="9" scale="26" orientation="landscape" horizontalDpi="300" verticalDpi="300"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2493-7051-45A3-B7A0-1B967F48CAEE}">
  <sheetPr codeName="Hoja14">
    <pageSetUpPr fitToPage="1"/>
  </sheetPr>
  <dimension ref="B1:AQ41"/>
  <sheetViews>
    <sheetView showGridLines="0" zoomScale="70" zoomScaleNormal="70" workbookViewId="0">
      <selection activeCell="H10" sqref="H10:AK10"/>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40" width="4.77734375" style="38" bestFit="1" customWidth="1"/>
    <col min="41" max="41" width="3.77734375" style="38" customWidth="1"/>
    <col min="42" max="42" width="7.77734375" style="38" customWidth="1"/>
    <col min="43" max="16384" width="11.44140625" style="38"/>
  </cols>
  <sheetData>
    <row r="1" spans="2:43" ht="11.25" customHeight="1" thickBot="1" x14ac:dyDescent="0.3"/>
    <row r="2" spans="2:43" ht="34.049999999999997" customHeight="1" thickBot="1" x14ac:dyDescent="0.3">
      <c r="B2" s="302" t="s">
        <v>88</v>
      </c>
      <c r="C2" s="302"/>
      <c r="D2" s="302"/>
      <c r="F2" s="303" t="s">
        <v>6</v>
      </c>
      <c r="G2" s="304"/>
      <c r="H2" s="304"/>
      <c r="I2" s="304"/>
      <c r="J2" s="304"/>
      <c r="K2" s="304"/>
      <c r="L2" s="304"/>
      <c r="M2" s="304"/>
      <c r="N2" s="304"/>
      <c r="O2" s="304"/>
      <c r="P2" s="304"/>
      <c r="Q2" s="304"/>
      <c r="R2" s="304"/>
      <c r="S2" s="304"/>
      <c r="T2" s="304"/>
      <c r="U2" s="304"/>
      <c r="V2" s="304"/>
      <c r="W2" s="304"/>
      <c r="X2" s="304"/>
      <c r="Y2" s="304"/>
      <c r="Z2" s="304"/>
      <c r="AA2" s="304"/>
      <c r="AB2" s="304"/>
      <c r="AC2" s="304"/>
      <c r="AD2" s="304"/>
      <c r="AE2" s="304"/>
      <c r="AF2" s="304"/>
      <c r="AG2" s="304"/>
      <c r="AH2" s="304"/>
      <c r="AI2" s="304"/>
      <c r="AJ2" s="304"/>
      <c r="AK2" s="304"/>
      <c r="AL2" s="305"/>
      <c r="AM2" s="40"/>
      <c r="AN2" s="40"/>
    </row>
    <row r="3" spans="2:43" ht="24" customHeight="1" thickBot="1" x14ac:dyDescent="0.3">
      <c r="B3" s="397">
        <v>45170</v>
      </c>
      <c r="C3" s="398"/>
      <c r="D3" s="399"/>
      <c r="F3" s="306"/>
      <c r="G3" s="307"/>
      <c r="H3" s="307"/>
      <c r="I3" s="307"/>
      <c r="J3" s="307"/>
      <c r="K3" s="307"/>
      <c r="L3" s="307"/>
      <c r="M3" s="307"/>
      <c r="N3" s="307"/>
      <c r="O3" s="307"/>
      <c r="P3" s="307"/>
      <c r="Q3" s="307"/>
      <c r="R3" s="307"/>
      <c r="S3" s="307"/>
      <c r="T3" s="307"/>
      <c r="U3" s="307"/>
      <c r="V3" s="307"/>
      <c r="W3" s="307"/>
      <c r="X3" s="307"/>
      <c r="Y3" s="307"/>
      <c r="Z3" s="307"/>
      <c r="AA3" s="307"/>
      <c r="AB3" s="307"/>
      <c r="AC3" s="307"/>
      <c r="AD3" s="307"/>
      <c r="AE3" s="307"/>
      <c r="AF3" s="307"/>
      <c r="AG3" s="307"/>
      <c r="AH3" s="307"/>
      <c r="AI3" s="307"/>
      <c r="AJ3" s="307"/>
      <c r="AK3" s="307"/>
      <c r="AL3" s="308"/>
    </row>
    <row r="4" spans="2:43" ht="33.75" customHeight="1" thickBot="1" x14ac:dyDescent="0.3">
      <c r="B4" s="400" t="s">
        <v>10</v>
      </c>
      <c r="C4" s="403" t="s">
        <v>7</v>
      </c>
      <c r="D4" s="404"/>
      <c r="F4" s="312" t="s">
        <v>8</v>
      </c>
      <c r="G4" s="313"/>
      <c r="H4" s="313"/>
      <c r="I4" s="313"/>
      <c r="J4" s="313"/>
      <c r="K4" s="313"/>
      <c r="L4" s="313"/>
      <c r="M4" s="313"/>
      <c r="N4" s="313"/>
      <c r="O4" s="313"/>
      <c r="P4" s="313"/>
      <c r="Q4" s="313"/>
      <c r="R4" s="313"/>
      <c r="S4" s="313"/>
      <c r="T4" s="313"/>
      <c r="U4" s="313"/>
      <c r="V4" s="313"/>
      <c r="W4" s="313"/>
      <c r="X4" s="313"/>
      <c r="Y4" s="313"/>
      <c r="Z4" s="313"/>
      <c r="AA4" s="313"/>
      <c r="AB4" s="313"/>
      <c r="AC4" s="313"/>
      <c r="AD4" s="313"/>
      <c r="AE4" s="313"/>
      <c r="AF4" s="313"/>
      <c r="AG4" s="313"/>
      <c r="AH4" s="313"/>
      <c r="AI4" s="313"/>
      <c r="AJ4" s="313"/>
      <c r="AK4" s="313"/>
      <c r="AL4" s="314"/>
    </row>
    <row r="5" spans="2:43" ht="23.25" customHeight="1" thickBot="1" x14ac:dyDescent="0.3">
      <c r="B5" s="401"/>
      <c r="C5" s="405" t="s">
        <v>9</v>
      </c>
      <c r="D5" s="406"/>
      <c r="F5" s="315"/>
      <c r="G5" s="316"/>
      <c r="H5" s="316"/>
      <c r="I5" s="316"/>
      <c r="J5" s="316"/>
      <c r="K5" s="316"/>
      <c r="L5" s="316"/>
      <c r="M5" s="316"/>
      <c r="N5" s="316"/>
      <c r="O5" s="316"/>
      <c r="P5" s="316"/>
      <c r="Q5" s="316"/>
      <c r="R5" s="316"/>
      <c r="S5" s="316"/>
      <c r="T5" s="316"/>
      <c r="U5" s="316"/>
      <c r="V5" s="316"/>
      <c r="W5" s="316"/>
      <c r="X5" s="316"/>
      <c r="Y5" s="316"/>
      <c r="Z5" s="316"/>
      <c r="AA5" s="316"/>
      <c r="AB5" s="316"/>
      <c r="AC5" s="316"/>
      <c r="AD5" s="316"/>
      <c r="AE5" s="316"/>
      <c r="AF5" s="316"/>
      <c r="AG5" s="316"/>
      <c r="AH5" s="316"/>
      <c r="AI5" s="316"/>
      <c r="AJ5" s="316"/>
      <c r="AK5" s="316"/>
      <c r="AL5" s="317"/>
      <c r="AM5" s="40"/>
      <c r="AN5" s="40"/>
    </row>
    <row r="6" spans="2:43" ht="23.25" customHeight="1" x14ac:dyDescent="0.25">
      <c r="B6" s="402" t="s">
        <v>89</v>
      </c>
      <c r="C6" s="155" t="s">
        <v>7</v>
      </c>
      <c r="D6" s="156" t="s">
        <v>11</v>
      </c>
      <c r="F6" s="385">
        <f>B3</f>
        <v>45170</v>
      </c>
      <c r="G6" s="165"/>
      <c r="H6" s="321" t="s">
        <v>2</v>
      </c>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2"/>
      <c r="AM6" s="40"/>
      <c r="AN6" s="40"/>
    </row>
    <row r="7" spans="2:43" s="40" customFormat="1" ht="18" customHeight="1" x14ac:dyDescent="0.3">
      <c r="B7" s="95">
        <v>1</v>
      </c>
      <c r="C7" s="166">
        <v>42</v>
      </c>
      <c r="D7" s="167">
        <v>16</v>
      </c>
      <c r="E7" s="38"/>
      <c r="F7" s="386"/>
      <c r="G7" s="154"/>
      <c r="H7" s="157">
        <v>1</v>
      </c>
      <c r="I7" s="157">
        <v>2</v>
      </c>
      <c r="J7" s="157">
        <v>3</v>
      </c>
      <c r="K7" s="157">
        <v>4</v>
      </c>
      <c r="L7" s="157">
        <v>5</v>
      </c>
      <c r="M7" s="157">
        <v>6</v>
      </c>
      <c r="N7" s="157">
        <v>7</v>
      </c>
      <c r="O7" s="157">
        <v>8</v>
      </c>
      <c r="P7" s="157">
        <v>9</v>
      </c>
      <c r="Q7" s="157">
        <v>10</v>
      </c>
      <c r="R7" s="157">
        <v>11</v>
      </c>
      <c r="S7" s="157">
        <v>12</v>
      </c>
      <c r="T7" s="157">
        <v>13</v>
      </c>
      <c r="U7" s="157">
        <v>14</v>
      </c>
      <c r="V7" s="157">
        <v>15</v>
      </c>
      <c r="W7" s="157">
        <v>16</v>
      </c>
      <c r="X7" s="157">
        <v>17</v>
      </c>
      <c r="Y7" s="157">
        <v>18</v>
      </c>
      <c r="Z7" s="157">
        <v>19</v>
      </c>
      <c r="AA7" s="157">
        <v>20</v>
      </c>
      <c r="AB7" s="157">
        <v>21</v>
      </c>
      <c r="AC7" s="157">
        <v>22</v>
      </c>
      <c r="AD7" s="157">
        <v>23</v>
      </c>
      <c r="AE7" s="157">
        <v>24</v>
      </c>
      <c r="AF7" s="157">
        <v>25</v>
      </c>
      <c r="AG7" s="157">
        <v>26</v>
      </c>
      <c r="AH7" s="157">
        <v>27</v>
      </c>
      <c r="AI7" s="157">
        <v>28</v>
      </c>
      <c r="AJ7" s="157">
        <v>29</v>
      </c>
      <c r="AK7" s="157">
        <v>30</v>
      </c>
      <c r="AL7" s="158">
        <v>31</v>
      </c>
    </row>
    <row r="8" spans="2:43" s="40" customFormat="1" ht="18" customHeight="1" x14ac:dyDescent="0.3">
      <c r="B8" s="56">
        <v>2</v>
      </c>
      <c r="C8" s="166">
        <v>35</v>
      </c>
      <c r="D8" s="168">
        <v>12</v>
      </c>
      <c r="E8" s="38"/>
      <c r="F8" s="386"/>
      <c r="G8" s="159" t="s">
        <v>7</v>
      </c>
      <c r="H8" s="163">
        <f t="array" ref="H8:AL8">TRANSPOSE(C7:C37)</f>
        <v>42</v>
      </c>
      <c r="I8" s="163">
        <v>35</v>
      </c>
      <c r="J8" s="163">
        <v>38</v>
      </c>
      <c r="K8" s="163">
        <v>41</v>
      </c>
      <c r="L8" s="163">
        <v>41</v>
      </c>
      <c r="M8" s="163">
        <v>41</v>
      </c>
      <c r="N8" s="163">
        <v>41</v>
      </c>
      <c r="O8" s="163">
        <v>42</v>
      </c>
      <c r="P8" s="163">
        <v>35</v>
      </c>
      <c r="Q8" s="163">
        <v>38</v>
      </c>
      <c r="R8" s="163">
        <v>41</v>
      </c>
      <c r="S8" s="163">
        <v>41</v>
      </c>
      <c r="T8" s="163">
        <v>41</v>
      </c>
      <c r="U8" s="163">
        <v>41</v>
      </c>
      <c r="V8" s="163">
        <v>40</v>
      </c>
      <c r="W8" s="163">
        <v>33</v>
      </c>
      <c r="X8" s="163">
        <v>36</v>
      </c>
      <c r="Y8" s="163">
        <v>37</v>
      </c>
      <c r="Z8" s="163">
        <v>37</v>
      </c>
      <c r="AA8" s="163">
        <v>37</v>
      </c>
      <c r="AB8" s="163">
        <v>37</v>
      </c>
      <c r="AC8" s="163">
        <v>40</v>
      </c>
      <c r="AD8" s="163">
        <v>33</v>
      </c>
      <c r="AE8" s="163">
        <v>36</v>
      </c>
      <c r="AF8" s="163">
        <v>37</v>
      </c>
      <c r="AG8" s="163">
        <v>37</v>
      </c>
      <c r="AH8" s="163">
        <v>37</v>
      </c>
      <c r="AI8" s="163">
        <v>37</v>
      </c>
      <c r="AJ8" s="163">
        <v>40</v>
      </c>
      <c r="AK8" s="163">
        <v>35</v>
      </c>
      <c r="AL8" s="164">
        <v>0</v>
      </c>
    </row>
    <row r="9" spans="2:43" s="40" customFormat="1" ht="18" customHeight="1" x14ac:dyDescent="0.3">
      <c r="B9" s="56">
        <v>3</v>
      </c>
      <c r="C9" s="166">
        <v>38</v>
      </c>
      <c r="D9" s="168">
        <v>12</v>
      </c>
      <c r="E9" s="38"/>
      <c r="F9" s="386"/>
      <c r="G9" s="159" t="s">
        <v>11</v>
      </c>
      <c r="H9" s="163">
        <f t="array" ref="H9:AL9">TRANSPOSE(D7:D37)</f>
        <v>16</v>
      </c>
      <c r="I9" s="163">
        <v>12</v>
      </c>
      <c r="J9" s="163">
        <v>12</v>
      </c>
      <c r="K9" s="163">
        <v>16</v>
      </c>
      <c r="L9" s="163">
        <v>16</v>
      </c>
      <c r="M9" s="163">
        <v>16</v>
      </c>
      <c r="N9" s="163">
        <v>16</v>
      </c>
      <c r="O9" s="163">
        <v>16</v>
      </c>
      <c r="P9" s="163">
        <v>12</v>
      </c>
      <c r="Q9" s="163">
        <v>12</v>
      </c>
      <c r="R9" s="163">
        <v>16</v>
      </c>
      <c r="S9" s="163">
        <v>16</v>
      </c>
      <c r="T9" s="163">
        <v>16</v>
      </c>
      <c r="U9" s="163">
        <v>16</v>
      </c>
      <c r="V9" s="163">
        <v>16</v>
      </c>
      <c r="W9" s="163">
        <v>12</v>
      </c>
      <c r="X9" s="163">
        <v>12</v>
      </c>
      <c r="Y9" s="163">
        <v>16</v>
      </c>
      <c r="Z9" s="163">
        <v>16</v>
      </c>
      <c r="AA9" s="163">
        <v>16</v>
      </c>
      <c r="AB9" s="163">
        <v>16</v>
      </c>
      <c r="AC9" s="163">
        <v>16</v>
      </c>
      <c r="AD9" s="163">
        <v>12</v>
      </c>
      <c r="AE9" s="163">
        <v>12</v>
      </c>
      <c r="AF9" s="163">
        <v>16</v>
      </c>
      <c r="AG9" s="163">
        <v>16</v>
      </c>
      <c r="AH9" s="163">
        <v>16</v>
      </c>
      <c r="AI9" s="163">
        <v>16</v>
      </c>
      <c r="AJ9" s="163">
        <v>16</v>
      </c>
      <c r="AK9" s="163">
        <v>12</v>
      </c>
      <c r="AL9" s="164">
        <v>0</v>
      </c>
    </row>
    <row r="10" spans="2:43" s="40" customFormat="1" ht="18" customHeight="1" x14ac:dyDescent="0.3">
      <c r="B10" s="56">
        <v>4</v>
      </c>
      <c r="C10" s="166">
        <v>41</v>
      </c>
      <c r="D10" s="168">
        <v>16</v>
      </c>
      <c r="E10" s="38"/>
      <c r="F10" s="387"/>
      <c r="G10" s="160" t="s">
        <v>3</v>
      </c>
      <c r="H10" s="161">
        <f>H8+H9</f>
        <v>58</v>
      </c>
      <c r="I10" s="161">
        <f t="shared" ref="I10:AL10" si="0">I8+I9</f>
        <v>47</v>
      </c>
      <c r="J10" s="161">
        <f t="shared" si="0"/>
        <v>50</v>
      </c>
      <c r="K10" s="161">
        <f t="shared" si="0"/>
        <v>57</v>
      </c>
      <c r="L10" s="161">
        <f t="shared" si="0"/>
        <v>57</v>
      </c>
      <c r="M10" s="161">
        <f t="shared" si="0"/>
        <v>57</v>
      </c>
      <c r="N10" s="161">
        <f t="shared" si="0"/>
        <v>57</v>
      </c>
      <c r="O10" s="161">
        <f t="shared" si="0"/>
        <v>58</v>
      </c>
      <c r="P10" s="161">
        <f t="shared" si="0"/>
        <v>47</v>
      </c>
      <c r="Q10" s="161">
        <f t="shared" si="0"/>
        <v>50</v>
      </c>
      <c r="R10" s="161">
        <f t="shared" si="0"/>
        <v>57</v>
      </c>
      <c r="S10" s="161">
        <f t="shared" si="0"/>
        <v>57</v>
      </c>
      <c r="T10" s="161">
        <f t="shared" si="0"/>
        <v>57</v>
      </c>
      <c r="U10" s="161">
        <f t="shared" si="0"/>
        <v>57</v>
      </c>
      <c r="V10" s="161">
        <f t="shared" si="0"/>
        <v>56</v>
      </c>
      <c r="W10" s="161">
        <f t="shared" si="0"/>
        <v>45</v>
      </c>
      <c r="X10" s="161">
        <f t="shared" si="0"/>
        <v>48</v>
      </c>
      <c r="Y10" s="161">
        <f t="shared" si="0"/>
        <v>53</v>
      </c>
      <c r="Z10" s="161">
        <f t="shared" si="0"/>
        <v>53</v>
      </c>
      <c r="AA10" s="161">
        <f t="shared" si="0"/>
        <v>53</v>
      </c>
      <c r="AB10" s="161">
        <f t="shared" si="0"/>
        <v>53</v>
      </c>
      <c r="AC10" s="161">
        <f t="shared" si="0"/>
        <v>56</v>
      </c>
      <c r="AD10" s="161">
        <f t="shared" si="0"/>
        <v>45</v>
      </c>
      <c r="AE10" s="161">
        <f t="shared" si="0"/>
        <v>48</v>
      </c>
      <c r="AF10" s="161">
        <f t="shared" si="0"/>
        <v>53</v>
      </c>
      <c r="AG10" s="161">
        <f t="shared" si="0"/>
        <v>53</v>
      </c>
      <c r="AH10" s="161">
        <f t="shared" si="0"/>
        <v>53</v>
      </c>
      <c r="AI10" s="161">
        <f t="shared" si="0"/>
        <v>53</v>
      </c>
      <c r="AJ10" s="161">
        <f t="shared" si="0"/>
        <v>56</v>
      </c>
      <c r="AK10" s="161">
        <f t="shared" si="0"/>
        <v>47</v>
      </c>
      <c r="AL10" s="162">
        <f t="shared" si="0"/>
        <v>0</v>
      </c>
    </row>
    <row r="11" spans="2:43" s="40" customFormat="1" ht="18" customHeight="1" x14ac:dyDescent="0.3">
      <c r="B11" s="56">
        <v>5</v>
      </c>
      <c r="C11" s="166">
        <v>41</v>
      </c>
      <c r="D11" s="168">
        <v>16</v>
      </c>
      <c r="E11" s="38"/>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46"/>
      <c r="AG11" s="46"/>
      <c r="AH11" s="46"/>
      <c r="AI11" s="46"/>
      <c r="AJ11" s="46"/>
      <c r="AK11" s="46"/>
      <c r="AL11" s="46"/>
    </row>
    <row r="12" spans="2:43" s="40" customFormat="1" ht="18" customHeight="1" x14ac:dyDescent="0.3">
      <c r="B12" s="56">
        <v>6</v>
      </c>
      <c r="C12" s="166">
        <v>41</v>
      </c>
      <c r="D12" s="168">
        <v>16</v>
      </c>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row>
    <row r="13" spans="2:43" s="40" customFormat="1" ht="18" customHeight="1" x14ac:dyDescent="0.3">
      <c r="B13" s="56">
        <v>7</v>
      </c>
      <c r="C13" s="166">
        <v>41</v>
      </c>
      <c r="D13" s="168">
        <v>16</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row>
    <row r="14" spans="2:43" s="40" customFormat="1" ht="18" customHeight="1" x14ac:dyDescent="0.3">
      <c r="B14" s="56">
        <v>8</v>
      </c>
      <c r="C14" s="166">
        <v>42</v>
      </c>
      <c r="D14" s="168">
        <v>16</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9</v>
      </c>
      <c r="C15" s="166">
        <v>35</v>
      </c>
      <c r="D15" s="168">
        <v>12</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10</v>
      </c>
      <c r="C16" s="166">
        <v>38</v>
      </c>
      <c r="D16" s="168">
        <v>12</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0" s="40" customFormat="1" ht="18" customHeight="1" x14ac:dyDescent="0.3">
      <c r="B17" s="56">
        <v>11</v>
      </c>
      <c r="C17" s="166">
        <v>41</v>
      </c>
      <c r="D17" s="168">
        <v>16</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row>
    <row r="18" spans="2:40" s="40" customFormat="1" ht="18" customHeight="1" x14ac:dyDescent="0.3">
      <c r="B18" s="56">
        <v>12</v>
      </c>
      <c r="C18" s="166">
        <v>41</v>
      </c>
      <c r="D18" s="168">
        <v>16</v>
      </c>
      <c r="E18" s="53"/>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0" s="40" customFormat="1" ht="18" customHeight="1" x14ac:dyDescent="0.3">
      <c r="B19" s="56">
        <v>13</v>
      </c>
      <c r="C19" s="166">
        <v>41</v>
      </c>
      <c r="D19" s="168">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0" s="40" customFormat="1" ht="18" customHeight="1" x14ac:dyDescent="0.3">
      <c r="B20" s="56">
        <v>14</v>
      </c>
      <c r="C20" s="166">
        <v>41</v>
      </c>
      <c r="D20" s="168">
        <v>16</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0" s="40" customFormat="1" ht="18" customHeight="1" x14ac:dyDescent="0.3">
      <c r="B21" s="56">
        <v>15</v>
      </c>
      <c r="C21" s="166">
        <v>40</v>
      </c>
      <c r="D21" s="168">
        <v>16</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0" s="40" customFormat="1" ht="18" customHeight="1" x14ac:dyDescent="0.3">
      <c r="B22" s="56">
        <v>16</v>
      </c>
      <c r="C22" s="166">
        <v>33</v>
      </c>
      <c r="D22" s="168">
        <v>12</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0" s="40" customFormat="1" ht="18" customHeight="1" x14ac:dyDescent="0.3">
      <c r="B23" s="56">
        <v>17</v>
      </c>
      <c r="C23" s="166">
        <v>36</v>
      </c>
      <c r="D23" s="168">
        <v>12</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0" s="40" customFormat="1" ht="18" customHeight="1" x14ac:dyDescent="0.3">
      <c r="B24" s="56">
        <v>18</v>
      </c>
      <c r="C24" s="166">
        <v>37</v>
      </c>
      <c r="D24" s="168">
        <v>16</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0" s="40" customFormat="1" ht="18" customHeight="1" x14ac:dyDescent="0.3">
      <c r="B25" s="56">
        <v>19</v>
      </c>
      <c r="C25" s="166">
        <v>37</v>
      </c>
      <c r="D25" s="168">
        <v>16</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0" s="40" customFormat="1" ht="18" customHeight="1" x14ac:dyDescent="0.3">
      <c r="B26" s="56">
        <v>20</v>
      </c>
      <c r="C26" s="166">
        <v>37</v>
      </c>
      <c r="D26" s="168">
        <v>16</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0" s="40" customFormat="1" ht="18" customHeight="1" x14ac:dyDescent="0.3">
      <c r="B27" s="56">
        <v>21</v>
      </c>
      <c r="C27" s="166">
        <v>37</v>
      </c>
      <c r="D27" s="168">
        <v>16</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0" s="40" customFormat="1" ht="18" customHeight="1" x14ac:dyDescent="0.3">
      <c r="B28" s="56">
        <v>22</v>
      </c>
      <c r="C28" s="166">
        <v>40</v>
      </c>
      <c r="D28" s="168">
        <v>16</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0" s="40" customFormat="1" ht="18" customHeight="1" x14ac:dyDescent="0.3">
      <c r="B29" s="56">
        <v>23</v>
      </c>
      <c r="C29" s="166">
        <v>33</v>
      </c>
      <c r="D29" s="168">
        <v>12</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0" s="40" customFormat="1" ht="18" customHeight="1" x14ac:dyDescent="0.3">
      <c r="B30" s="56">
        <v>24</v>
      </c>
      <c r="C30" s="166">
        <v>36</v>
      </c>
      <c r="D30" s="168">
        <v>12</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0" s="40" customFormat="1" ht="18" customHeight="1" x14ac:dyDescent="0.3">
      <c r="B31" s="56">
        <v>25</v>
      </c>
      <c r="C31" s="166">
        <v>37</v>
      </c>
      <c r="D31" s="168">
        <v>16</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0" s="40" customFormat="1" ht="18" customHeight="1" x14ac:dyDescent="0.3">
      <c r="B32" s="56">
        <v>26</v>
      </c>
      <c r="C32" s="166">
        <v>37</v>
      </c>
      <c r="D32" s="168">
        <v>16</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27</v>
      </c>
      <c r="C33" s="166">
        <v>37</v>
      </c>
      <c r="D33" s="168">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28</v>
      </c>
      <c r="C34" s="166">
        <v>37</v>
      </c>
      <c r="D34" s="168">
        <v>16</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29</v>
      </c>
      <c r="C35" s="166">
        <v>40</v>
      </c>
      <c r="D35" s="168">
        <v>16</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30</v>
      </c>
      <c r="C36" s="166">
        <v>35</v>
      </c>
      <c r="D36" s="168">
        <v>12</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89">
        <v>31</v>
      </c>
      <c r="C37" s="90"/>
      <c r="D37" s="58"/>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23.25" customHeight="1" x14ac:dyDescent="0.25">
      <c r="B38" s="92" t="s">
        <v>3</v>
      </c>
      <c r="C38" s="93">
        <f>SUM(C7:C37)</f>
        <v>1147</v>
      </c>
      <c r="D38" s="94">
        <f>SUM(D7:D37)</f>
        <v>444</v>
      </c>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x14ac:dyDescent="0.25">
      <c r="B39" s="37"/>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ht="17.399999999999999" x14ac:dyDescent="0.25">
      <c r="F41" s="40"/>
      <c r="G41" s="40"/>
    </row>
  </sheetData>
  <mergeCells count="9">
    <mergeCell ref="F6:F10"/>
    <mergeCell ref="H6:AL6"/>
    <mergeCell ref="F4:AL5"/>
    <mergeCell ref="B2:D2"/>
    <mergeCell ref="F2:AL3"/>
    <mergeCell ref="B3:D3"/>
    <mergeCell ref="B4:B6"/>
    <mergeCell ref="C4:D4"/>
    <mergeCell ref="C5:D5"/>
  </mergeCells>
  <pageMargins left="0.75" right="0.75" top="1" bottom="1" header="0" footer="0"/>
  <pageSetup paperSize="9" scale="26" orientation="landscape" horizontalDpi="300" verticalDpi="300"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E88FD3-0A3B-44A6-8E14-D1AD2E697503}">
  <sheetPr codeName="Hoja15">
    <pageSetUpPr fitToPage="1"/>
  </sheetPr>
  <dimension ref="B1:AQ41"/>
  <sheetViews>
    <sheetView showGridLines="0" zoomScale="70" zoomScaleNormal="70" workbookViewId="0">
      <selection activeCell="H10" sqref="H10:AL10"/>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40" width="4.77734375" style="38" bestFit="1" customWidth="1"/>
    <col min="41" max="41" width="3.77734375" style="38" customWidth="1"/>
    <col min="42" max="42" width="7.77734375" style="38" customWidth="1"/>
    <col min="43" max="16384" width="11.44140625" style="38"/>
  </cols>
  <sheetData>
    <row r="1" spans="2:43" ht="11.25" customHeight="1" thickBot="1" x14ac:dyDescent="0.3"/>
    <row r="2" spans="2:43" ht="34.049999999999997" customHeight="1" thickBot="1" x14ac:dyDescent="0.3">
      <c r="B2" s="302" t="s">
        <v>88</v>
      </c>
      <c r="C2" s="302"/>
      <c r="D2" s="302"/>
      <c r="F2" s="303" t="s">
        <v>6</v>
      </c>
      <c r="G2" s="304"/>
      <c r="H2" s="304"/>
      <c r="I2" s="304"/>
      <c r="J2" s="304"/>
      <c r="K2" s="304"/>
      <c r="L2" s="304"/>
      <c r="M2" s="304"/>
      <c r="N2" s="304"/>
      <c r="O2" s="304"/>
      <c r="P2" s="304"/>
      <c r="Q2" s="304"/>
      <c r="R2" s="304"/>
      <c r="S2" s="304"/>
      <c r="T2" s="304"/>
      <c r="U2" s="304"/>
      <c r="V2" s="304"/>
      <c r="W2" s="304"/>
      <c r="X2" s="304"/>
      <c r="Y2" s="304"/>
      <c r="Z2" s="304"/>
      <c r="AA2" s="304"/>
      <c r="AB2" s="304"/>
      <c r="AC2" s="304"/>
      <c r="AD2" s="304"/>
      <c r="AE2" s="304"/>
      <c r="AF2" s="304"/>
      <c r="AG2" s="304"/>
      <c r="AH2" s="304"/>
      <c r="AI2" s="304"/>
      <c r="AJ2" s="304"/>
      <c r="AK2" s="304"/>
      <c r="AL2" s="305"/>
      <c r="AM2" s="40"/>
      <c r="AN2" s="40"/>
    </row>
    <row r="3" spans="2:43" ht="24" customHeight="1" thickBot="1" x14ac:dyDescent="0.3">
      <c r="B3" s="397">
        <v>45200</v>
      </c>
      <c r="C3" s="398"/>
      <c r="D3" s="399"/>
      <c r="F3" s="306"/>
      <c r="G3" s="307"/>
      <c r="H3" s="307"/>
      <c r="I3" s="307"/>
      <c r="J3" s="307"/>
      <c r="K3" s="307"/>
      <c r="L3" s="307"/>
      <c r="M3" s="307"/>
      <c r="N3" s="307"/>
      <c r="O3" s="307"/>
      <c r="P3" s="307"/>
      <c r="Q3" s="307"/>
      <c r="R3" s="307"/>
      <c r="S3" s="307"/>
      <c r="T3" s="307"/>
      <c r="U3" s="307"/>
      <c r="V3" s="307"/>
      <c r="W3" s="307"/>
      <c r="X3" s="307"/>
      <c r="Y3" s="307"/>
      <c r="Z3" s="307"/>
      <c r="AA3" s="307"/>
      <c r="AB3" s="307"/>
      <c r="AC3" s="307"/>
      <c r="AD3" s="307"/>
      <c r="AE3" s="307"/>
      <c r="AF3" s="307"/>
      <c r="AG3" s="307"/>
      <c r="AH3" s="307"/>
      <c r="AI3" s="307"/>
      <c r="AJ3" s="307"/>
      <c r="AK3" s="307"/>
      <c r="AL3" s="308"/>
    </row>
    <row r="4" spans="2:43" ht="33.75" customHeight="1" thickBot="1" x14ac:dyDescent="0.3">
      <c r="B4" s="400" t="s">
        <v>10</v>
      </c>
      <c r="C4" s="403" t="s">
        <v>7</v>
      </c>
      <c r="D4" s="404"/>
      <c r="F4" s="312" t="s">
        <v>8</v>
      </c>
      <c r="G4" s="313"/>
      <c r="H4" s="313"/>
      <c r="I4" s="313"/>
      <c r="J4" s="313"/>
      <c r="K4" s="313"/>
      <c r="L4" s="313"/>
      <c r="M4" s="313"/>
      <c r="N4" s="313"/>
      <c r="O4" s="313"/>
      <c r="P4" s="313"/>
      <c r="Q4" s="313"/>
      <c r="R4" s="313"/>
      <c r="S4" s="313"/>
      <c r="T4" s="313"/>
      <c r="U4" s="313"/>
      <c r="V4" s="313"/>
      <c r="W4" s="313"/>
      <c r="X4" s="313"/>
      <c r="Y4" s="313"/>
      <c r="Z4" s="313"/>
      <c r="AA4" s="313"/>
      <c r="AB4" s="313"/>
      <c r="AC4" s="313"/>
      <c r="AD4" s="313"/>
      <c r="AE4" s="313"/>
      <c r="AF4" s="313"/>
      <c r="AG4" s="313"/>
      <c r="AH4" s="313"/>
      <c r="AI4" s="313"/>
      <c r="AJ4" s="313"/>
      <c r="AK4" s="313"/>
      <c r="AL4" s="314"/>
    </row>
    <row r="5" spans="2:43" ht="23.25" customHeight="1" thickBot="1" x14ac:dyDescent="0.3">
      <c r="B5" s="401"/>
      <c r="C5" s="408" t="s">
        <v>9</v>
      </c>
      <c r="D5" s="409"/>
      <c r="F5" s="315"/>
      <c r="G5" s="316"/>
      <c r="H5" s="316"/>
      <c r="I5" s="316"/>
      <c r="J5" s="316"/>
      <c r="K5" s="316"/>
      <c r="L5" s="316"/>
      <c r="M5" s="316"/>
      <c r="N5" s="316"/>
      <c r="O5" s="316"/>
      <c r="P5" s="316"/>
      <c r="Q5" s="316"/>
      <c r="R5" s="316"/>
      <c r="S5" s="316"/>
      <c r="T5" s="316"/>
      <c r="U5" s="316"/>
      <c r="V5" s="316"/>
      <c r="W5" s="316"/>
      <c r="X5" s="316"/>
      <c r="Y5" s="316"/>
      <c r="Z5" s="316"/>
      <c r="AA5" s="316"/>
      <c r="AB5" s="316"/>
      <c r="AC5" s="316"/>
      <c r="AD5" s="316"/>
      <c r="AE5" s="316"/>
      <c r="AF5" s="316"/>
      <c r="AG5" s="316"/>
      <c r="AH5" s="316"/>
      <c r="AI5" s="316"/>
      <c r="AJ5" s="316"/>
      <c r="AK5" s="316"/>
      <c r="AL5" s="317"/>
      <c r="AM5" s="40"/>
      <c r="AN5" s="40"/>
    </row>
    <row r="6" spans="2:43" ht="23.25" customHeight="1" thickBot="1" x14ac:dyDescent="0.3">
      <c r="B6" s="407" t="s">
        <v>89</v>
      </c>
      <c r="C6" s="50" t="s">
        <v>7</v>
      </c>
      <c r="D6" s="50" t="s">
        <v>11</v>
      </c>
      <c r="F6" s="385">
        <f>B3</f>
        <v>45200</v>
      </c>
      <c r="G6" s="165"/>
      <c r="H6" s="321" t="s">
        <v>2</v>
      </c>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2"/>
      <c r="AM6" s="40"/>
      <c r="AN6" s="40"/>
    </row>
    <row r="7" spans="2:43" s="40" customFormat="1" ht="18" customHeight="1" thickTop="1" x14ac:dyDescent="0.3">
      <c r="B7" s="95">
        <v>1</v>
      </c>
      <c r="C7" s="169">
        <v>37</v>
      </c>
      <c r="D7" s="171">
        <v>12</v>
      </c>
      <c r="E7" s="38"/>
      <c r="F7" s="386"/>
      <c r="G7" s="154"/>
      <c r="H7" s="157">
        <v>1</v>
      </c>
      <c r="I7" s="157">
        <v>2</v>
      </c>
      <c r="J7" s="157">
        <v>3</v>
      </c>
      <c r="K7" s="157">
        <v>4</v>
      </c>
      <c r="L7" s="157">
        <v>5</v>
      </c>
      <c r="M7" s="157">
        <v>6</v>
      </c>
      <c r="N7" s="157">
        <v>7</v>
      </c>
      <c r="O7" s="157">
        <v>8</v>
      </c>
      <c r="P7" s="157">
        <v>9</v>
      </c>
      <c r="Q7" s="157">
        <v>10</v>
      </c>
      <c r="R7" s="157">
        <v>11</v>
      </c>
      <c r="S7" s="157">
        <v>12</v>
      </c>
      <c r="T7" s="157">
        <v>13</v>
      </c>
      <c r="U7" s="157">
        <v>14</v>
      </c>
      <c r="V7" s="157">
        <v>15</v>
      </c>
      <c r="W7" s="157">
        <v>16</v>
      </c>
      <c r="X7" s="157">
        <v>17</v>
      </c>
      <c r="Y7" s="157">
        <v>18</v>
      </c>
      <c r="Z7" s="157">
        <v>19</v>
      </c>
      <c r="AA7" s="157">
        <v>20</v>
      </c>
      <c r="AB7" s="157">
        <v>21</v>
      </c>
      <c r="AC7" s="157">
        <v>22</v>
      </c>
      <c r="AD7" s="157">
        <v>23</v>
      </c>
      <c r="AE7" s="157">
        <v>24</v>
      </c>
      <c r="AF7" s="157">
        <v>25</v>
      </c>
      <c r="AG7" s="157">
        <v>26</v>
      </c>
      <c r="AH7" s="157">
        <v>27</v>
      </c>
      <c r="AI7" s="157">
        <v>28</v>
      </c>
      <c r="AJ7" s="157">
        <v>29</v>
      </c>
      <c r="AK7" s="157">
        <v>30</v>
      </c>
      <c r="AL7" s="158">
        <v>31</v>
      </c>
    </row>
    <row r="8" spans="2:43" s="40" customFormat="1" ht="18" customHeight="1" x14ac:dyDescent="0.3">
      <c r="B8" s="56">
        <v>2</v>
      </c>
      <c r="C8" s="170">
        <v>37</v>
      </c>
      <c r="D8" s="57">
        <v>16</v>
      </c>
      <c r="E8" s="38"/>
      <c r="F8" s="386"/>
      <c r="G8" s="159" t="s">
        <v>7</v>
      </c>
      <c r="H8" s="163">
        <f t="array" ref="H8:AL8">TRANSPOSE(C7:C37)</f>
        <v>37</v>
      </c>
      <c r="I8" s="163">
        <v>37</v>
      </c>
      <c r="J8" s="163">
        <v>37</v>
      </c>
      <c r="K8" s="163">
        <v>37</v>
      </c>
      <c r="L8" s="163">
        <v>37</v>
      </c>
      <c r="M8" s="163">
        <v>40</v>
      </c>
      <c r="N8" s="163">
        <v>36</v>
      </c>
      <c r="O8" s="163">
        <v>36</v>
      </c>
      <c r="P8" s="163">
        <v>38</v>
      </c>
      <c r="Q8" s="163">
        <v>37</v>
      </c>
      <c r="R8" s="163">
        <v>38</v>
      </c>
      <c r="S8" s="163">
        <v>34</v>
      </c>
      <c r="T8" s="163">
        <v>20</v>
      </c>
      <c r="U8" s="163">
        <v>31</v>
      </c>
      <c r="V8" s="163">
        <v>36</v>
      </c>
      <c r="W8" s="163">
        <v>37</v>
      </c>
      <c r="X8" s="163">
        <v>37</v>
      </c>
      <c r="Y8" s="163">
        <v>37</v>
      </c>
      <c r="Z8" s="163">
        <v>37</v>
      </c>
      <c r="AA8" s="163">
        <v>40</v>
      </c>
      <c r="AB8" s="163">
        <v>33</v>
      </c>
      <c r="AC8" s="163">
        <v>36</v>
      </c>
      <c r="AD8" s="163">
        <v>37</v>
      </c>
      <c r="AE8" s="163">
        <v>37</v>
      </c>
      <c r="AF8" s="163">
        <v>37</v>
      </c>
      <c r="AG8" s="163">
        <v>37</v>
      </c>
      <c r="AH8" s="163">
        <v>40</v>
      </c>
      <c r="AI8" s="163">
        <v>33</v>
      </c>
      <c r="AJ8" s="163">
        <v>36</v>
      </c>
      <c r="AK8" s="163">
        <v>37</v>
      </c>
      <c r="AL8" s="164">
        <v>37</v>
      </c>
    </row>
    <row r="9" spans="2:43" s="40" customFormat="1" ht="18" customHeight="1" x14ac:dyDescent="0.3">
      <c r="B9" s="56">
        <v>3</v>
      </c>
      <c r="C9" s="170">
        <v>37</v>
      </c>
      <c r="D9" s="57">
        <v>16</v>
      </c>
      <c r="E9" s="38"/>
      <c r="F9" s="386"/>
      <c r="G9" s="159" t="s">
        <v>11</v>
      </c>
      <c r="H9" s="163">
        <f t="array" ref="H9:AL9">TRANSPOSE(D7:D37)</f>
        <v>12</v>
      </c>
      <c r="I9" s="163">
        <v>16</v>
      </c>
      <c r="J9" s="163">
        <v>16</v>
      </c>
      <c r="K9" s="163">
        <v>16</v>
      </c>
      <c r="L9" s="163">
        <v>16</v>
      </c>
      <c r="M9" s="163">
        <v>16</v>
      </c>
      <c r="N9" s="163">
        <v>12</v>
      </c>
      <c r="O9" s="163">
        <v>12</v>
      </c>
      <c r="P9" s="163">
        <v>16</v>
      </c>
      <c r="Q9" s="163">
        <v>15</v>
      </c>
      <c r="R9" s="163">
        <v>16</v>
      </c>
      <c r="S9" s="163">
        <v>12</v>
      </c>
      <c r="T9" s="163">
        <v>16</v>
      </c>
      <c r="U9" s="163">
        <v>12</v>
      </c>
      <c r="V9" s="163">
        <v>12</v>
      </c>
      <c r="W9" s="163">
        <v>16</v>
      </c>
      <c r="X9" s="163">
        <v>16</v>
      </c>
      <c r="Y9" s="163">
        <v>16</v>
      </c>
      <c r="Z9" s="163">
        <v>16</v>
      </c>
      <c r="AA9" s="163">
        <v>16</v>
      </c>
      <c r="AB9" s="163">
        <v>12</v>
      </c>
      <c r="AC9" s="163">
        <v>12</v>
      </c>
      <c r="AD9" s="163">
        <v>16</v>
      </c>
      <c r="AE9" s="163">
        <v>16</v>
      </c>
      <c r="AF9" s="163">
        <v>16</v>
      </c>
      <c r="AG9" s="163">
        <v>16</v>
      </c>
      <c r="AH9" s="163">
        <v>16</v>
      </c>
      <c r="AI9" s="163">
        <v>12</v>
      </c>
      <c r="AJ9" s="163">
        <v>12</v>
      </c>
      <c r="AK9" s="163">
        <v>16</v>
      </c>
      <c r="AL9" s="164">
        <v>16</v>
      </c>
    </row>
    <row r="10" spans="2:43" s="40" customFormat="1" ht="18" customHeight="1" thickBot="1" x14ac:dyDescent="0.35">
      <c r="B10" s="56">
        <v>4</v>
      </c>
      <c r="C10" s="170">
        <v>37</v>
      </c>
      <c r="D10" s="57">
        <v>16</v>
      </c>
      <c r="E10" s="38"/>
      <c r="F10" s="387"/>
      <c r="G10" s="160" t="s">
        <v>3</v>
      </c>
      <c r="H10" s="161">
        <f>H8+H9</f>
        <v>49</v>
      </c>
      <c r="I10" s="161">
        <f t="shared" ref="I10:AL10" si="0">I8+I9</f>
        <v>53</v>
      </c>
      <c r="J10" s="161">
        <f t="shared" si="0"/>
        <v>53</v>
      </c>
      <c r="K10" s="161">
        <f t="shared" si="0"/>
        <v>53</v>
      </c>
      <c r="L10" s="161">
        <f t="shared" si="0"/>
        <v>53</v>
      </c>
      <c r="M10" s="161">
        <f t="shared" si="0"/>
        <v>56</v>
      </c>
      <c r="N10" s="161">
        <f t="shared" si="0"/>
        <v>48</v>
      </c>
      <c r="O10" s="161">
        <f t="shared" si="0"/>
        <v>48</v>
      </c>
      <c r="P10" s="161">
        <f t="shared" si="0"/>
        <v>54</v>
      </c>
      <c r="Q10" s="161">
        <f t="shared" si="0"/>
        <v>52</v>
      </c>
      <c r="R10" s="161">
        <f t="shared" si="0"/>
        <v>54</v>
      </c>
      <c r="S10" s="161">
        <f t="shared" si="0"/>
        <v>46</v>
      </c>
      <c r="T10" s="161">
        <f t="shared" si="0"/>
        <v>36</v>
      </c>
      <c r="U10" s="161">
        <f t="shared" si="0"/>
        <v>43</v>
      </c>
      <c r="V10" s="161">
        <f t="shared" si="0"/>
        <v>48</v>
      </c>
      <c r="W10" s="161">
        <f t="shared" si="0"/>
        <v>53</v>
      </c>
      <c r="X10" s="161">
        <f t="shared" si="0"/>
        <v>53</v>
      </c>
      <c r="Y10" s="161">
        <f t="shared" si="0"/>
        <v>53</v>
      </c>
      <c r="Z10" s="161">
        <f t="shared" si="0"/>
        <v>53</v>
      </c>
      <c r="AA10" s="161">
        <f t="shared" si="0"/>
        <v>56</v>
      </c>
      <c r="AB10" s="161">
        <f t="shared" si="0"/>
        <v>45</v>
      </c>
      <c r="AC10" s="161">
        <f t="shared" si="0"/>
        <v>48</v>
      </c>
      <c r="AD10" s="161">
        <f t="shared" si="0"/>
        <v>53</v>
      </c>
      <c r="AE10" s="161">
        <f t="shared" si="0"/>
        <v>53</v>
      </c>
      <c r="AF10" s="161">
        <f t="shared" si="0"/>
        <v>53</v>
      </c>
      <c r="AG10" s="161">
        <f t="shared" si="0"/>
        <v>53</v>
      </c>
      <c r="AH10" s="161">
        <f t="shared" si="0"/>
        <v>56</v>
      </c>
      <c r="AI10" s="161">
        <f t="shared" si="0"/>
        <v>45</v>
      </c>
      <c r="AJ10" s="161">
        <f t="shared" si="0"/>
        <v>48</v>
      </c>
      <c r="AK10" s="161">
        <f t="shared" si="0"/>
        <v>53</v>
      </c>
      <c r="AL10" s="162">
        <f t="shared" si="0"/>
        <v>53</v>
      </c>
    </row>
    <row r="11" spans="2:43" s="40" customFormat="1" ht="18" customHeight="1" x14ac:dyDescent="0.3">
      <c r="B11" s="56">
        <v>5</v>
      </c>
      <c r="C11" s="170">
        <v>37</v>
      </c>
      <c r="D11" s="57">
        <v>16</v>
      </c>
      <c r="E11" s="38"/>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46"/>
      <c r="AG11" s="46"/>
      <c r="AH11" s="46"/>
      <c r="AI11" s="46"/>
      <c r="AJ11" s="46"/>
      <c r="AK11" s="46"/>
      <c r="AL11" s="46"/>
    </row>
    <row r="12" spans="2:43" s="40" customFormat="1" ht="18" customHeight="1" x14ac:dyDescent="0.3">
      <c r="B12" s="56">
        <v>6</v>
      </c>
      <c r="C12" s="170">
        <v>40</v>
      </c>
      <c r="D12" s="57">
        <v>16</v>
      </c>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row>
    <row r="13" spans="2:43" s="40" customFormat="1" ht="18" customHeight="1" x14ac:dyDescent="0.3">
      <c r="B13" s="56">
        <v>7</v>
      </c>
      <c r="C13" s="170">
        <v>36</v>
      </c>
      <c r="D13" s="57">
        <v>12</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row>
    <row r="14" spans="2:43" s="40" customFormat="1" ht="18" customHeight="1" x14ac:dyDescent="0.3">
      <c r="B14" s="56">
        <v>8</v>
      </c>
      <c r="C14" s="170">
        <v>36</v>
      </c>
      <c r="D14" s="57">
        <v>12</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9</v>
      </c>
      <c r="C15" s="170">
        <v>38</v>
      </c>
      <c r="D15" s="57">
        <v>16</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10</v>
      </c>
      <c r="C16" s="170">
        <v>37</v>
      </c>
      <c r="D16" s="57">
        <v>15</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0" s="40" customFormat="1" ht="18" customHeight="1" x14ac:dyDescent="0.3">
      <c r="B17" s="56">
        <v>11</v>
      </c>
      <c r="C17" s="170">
        <v>38</v>
      </c>
      <c r="D17" s="57">
        <v>16</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row>
    <row r="18" spans="2:40" s="40" customFormat="1" ht="18" customHeight="1" x14ac:dyDescent="0.3">
      <c r="B18" s="56">
        <v>12</v>
      </c>
      <c r="C18" s="170">
        <v>34</v>
      </c>
      <c r="D18" s="57">
        <v>12</v>
      </c>
      <c r="E18" s="53"/>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0" s="40" customFormat="1" ht="18" customHeight="1" x14ac:dyDescent="0.3">
      <c r="B19" s="56">
        <v>13</v>
      </c>
      <c r="C19" s="170">
        <v>20</v>
      </c>
      <c r="D19" s="57">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0" s="40" customFormat="1" ht="18" customHeight="1" x14ac:dyDescent="0.3">
      <c r="B20" s="56">
        <v>14</v>
      </c>
      <c r="C20" s="170">
        <v>31</v>
      </c>
      <c r="D20" s="57">
        <v>12</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0" s="40" customFormat="1" ht="18" customHeight="1" x14ac:dyDescent="0.3">
      <c r="B21" s="56">
        <v>15</v>
      </c>
      <c r="C21" s="170">
        <v>36</v>
      </c>
      <c r="D21" s="57">
        <v>12</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0" s="40" customFormat="1" ht="18" customHeight="1" x14ac:dyDescent="0.3">
      <c r="B22" s="56">
        <v>16</v>
      </c>
      <c r="C22" s="170">
        <v>37</v>
      </c>
      <c r="D22" s="57">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0" s="40" customFormat="1" ht="18" customHeight="1" x14ac:dyDescent="0.3">
      <c r="B23" s="56">
        <v>17</v>
      </c>
      <c r="C23" s="170">
        <v>37</v>
      </c>
      <c r="D23" s="57">
        <v>16</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0" s="40" customFormat="1" ht="18" customHeight="1" x14ac:dyDescent="0.3">
      <c r="B24" s="56">
        <v>18</v>
      </c>
      <c r="C24" s="170">
        <v>37</v>
      </c>
      <c r="D24" s="57">
        <v>16</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0" s="40" customFormat="1" ht="18" customHeight="1" x14ac:dyDescent="0.3">
      <c r="B25" s="56">
        <v>19</v>
      </c>
      <c r="C25" s="170">
        <v>37</v>
      </c>
      <c r="D25" s="57">
        <v>16</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0" s="40" customFormat="1" ht="18" customHeight="1" x14ac:dyDescent="0.3">
      <c r="B26" s="56">
        <v>20</v>
      </c>
      <c r="C26" s="170">
        <v>40</v>
      </c>
      <c r="D26" s="57">
        <v>16</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0" s="40" customFormat="1" ht="18" customHeight="1" x14ac:dyDescent="0.3">
      <c r="B27" s="56">
        <v>21</v>
      </c>
      <c r="C27" s="170">
        <v>33</v>
      </c>
      <c r="D27" s="57">
        <v>12</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0" s="40" customFormat="1" ht="18" customHeight="1" x14ac:dyDescent="0.3">
      <c r="B28" s="56">
        <v>22</v>
      </c>
      <c r="C28" s="170">
        <v>36</v>
      </c>
      <c r="D28" s="57">
        <v>12</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0" s="40" customFormat="1" ht="18" customHeight="1" x14ac:dyDescent="0.3">
      <c r="B29" s="56">
        <v>23</v>
      </c>
      <c r="C29" s="170">
        <v>37</v>
      </c>
      <c r="D29" s="57">
        <v>16</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0" s="40" customFormat="1" ht="18" customHeight="1" x14ac:dyDescent="0.3">
      <c r="B30" s="56">
        <v>24</v>
      </c>
      <c r="C30" s="170">
        <v>37</v>
      </c>
      <c r="D30" s="57">
        <v>16</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0" s="40" customFormat="1" ht="18" customHeight="1" x14ac:dyDescent="0.3">
      <c r="B31" s="56">
        <v>25</v>
      </c>
      <c r="C31" s="170">
        <v>37</v>
      </c>
      <c r="D31" s="57">
        <v>16</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0" s="40" customFormat="1" ht="18" customHeight="1" x14ac:dyDescent="0.3">
      <c r="B32" s="56">
        <v>26</v>
      </c>
      <c r="C32" s="170">
        <v>37</v>
      </c>
      <c r="D32" s="57">
        <v>16</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27</v>
      </c>
      <c r="C33" s="170">
        <v>40</v>
      </c>
      <c r="D33" s="57">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28</v>
      </c>
      <c r="C34" s="170">
        <v>33</v>
      </c>
      <c r="D34" s="57">
        <v>12</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29</v>
      </c>
      <c r="C35" s="170">
        <v>36</v>
      </c>
      <c r="D35" s="57">
        <v>12</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30</v>
      </c>
      <c r="C36" s="170">
        <v>37</v>
      </c>
      <c r="D36" s="57">
        <v>16</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thickBot="1" x14ac:dyDescent="0.35">
      <c r="B37" s="89">
        <v>31</v>
      </c>
      <c r="C37" s="170">
        <v>37</v>
      </c>
      <c r="D37" s="172">
        <v>16</v>
      </c>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23.25" customHeight="1" thickTop="1" thickBot="1" x14ac:dyDescent="0.3">
      <c r="B38" s="92" t="s">
        <v>3</v>
      </c>
      <c r="C38" s="93">
        <f>SUM(C7:C37)</f>
        <v>1119</v>
      </c>
      <c r="D38" s="94">
        <f>SUM(D7:D37)</f>
        <v>455</v>
      </c>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x14ac:dyDescent="0.25">
      <c r="B39" s="37"/>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ht="17.399999999999999" x14ac:dyDescent="0.25">
      <c r="F41" s="40"/>
      <c r="G41" s="40"/>
    </row>
  </sheetData>
  <mergeCells count="9">
    <mergeCell ref="B2:D2"/>
    <mergeCell ref="F2:AL3"/>
    <mergeCell ref="B3:D3"/>
    <mergeCell ref="B4:B6"/>
    <mergeCell ref="C4:D4"/>
    <mergeCell ref="F4:AL5"/>
    <mergeCell ref="C5:D5"/>
    <mergeCell ref="F6:F10"/>
    <mergeCell ref="H6:AL6"/>
  </mergeCells>
  <pageMargins left="0.75" right="0.75" top="1" bottom="1" header="0" footer="0"/>
  <pageSetup paperSize="9" scale="26" orientation="landscape" horizontalDpi="300" verticalDpi="300"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D8822-C709-4FBB-8C15-ECC8369EB0C8}">
  <sheetPr codeName="Hoja16">
    <pageSetUpPr fitToPage="1"/>
  </sheetPr>
  <dimension ref="B1:AQ41"/>
  <sheetViews>
    <sheetView showGridLines="0" zoomScale="70" zoomScaleNormal="70" workbookViewId="0">
      <selection activeCell="H10" sqref="H10:AK10"/>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11.25" customHeight="1" thickBot="1" x14ac:dyDescent="0.3"/>
    <row r="2" spans="2:43" ht="34.049999999999997" customHeight="1" thickBot="1" x14ac:dyDescent="0.3">
      <c r="B2" s="302" t="s">
        <v>88</v>
      </c>
      <c r="C2" s="302"/>
      <c r="D2" s="302"/>
      <c r="F2" s="303" t="s">
        <v>6</v>
      </c>
      <c r="G2" s="304"/>
      <c r="H2" s="304"/>
      <c r="I2" s="304"/>
      <c r="J2" s="304"/>
      <c r="K2" s="304"/>
      <c r="L2" s="304"/>
      <c r="M2" s="304"/>
      <c r="N2" s="304"/>
      <c r="O2" s="304"/>
      <c r="P2" s="304"/>
      <c r="Q2" s="304"/>
      <c r="R2" s="304"/>
      <c r="S2" s="304"/>
      <c r="T2" s="304"/>
      <c r="U2" s="304"/>
      <c r="V2" s="304"/>
      <c r="W2" s="304"/>
      <c r="X2" s="304"/>
      <c r="Y2" s="304"/>
      <c r="Z2" s="304"/>
      <c r="AA2" s="304"/>
      <c r="AB2" s="304"/>
      <c r="AC2" s="304"/>
      <c r="AD2" s="304"/>
      <c r="AE2" s="304"/>
      <c r="AF2" s="304"/>
      <c r="AG2" s="304"/>
      <c r="AH2" s="304"/>
      <c r="AI2" s="304"/>
      <c r="AJ2" s="304"/>
      <c r="AK2" s="304"/>
      <c r="AL2" s="305"/>
      <c r="AM2" s="40"/>
      <c r="AN2" s="40"/>
    </row>
    <row r="3" spans="2:43" ht="24" customHeight="1" thickBot="1" x14ac:dyDescent="0.3">
      <c r="B3" s="397">
        <v>45231</v>
      </c>
      <c r="C3" s="398"/>
      <c r="D3" s="399"/>
      <c r="F3" s="306"/>
      <c r="G3" s="307"/>
      <c r="H3" s="307"/>
      <c r="I3" s="307"/>
      <c r="J3" s="307"/>
      <c r="K3" s="307"/>
      <c r="L3" s="307"/>
      <c r="M3" s="307"/>
      <c r="N3" s="307"/>
      <c r="O3" s="307"/>
      <c r="P3" s="307"/>
      <c r="Q3" s="307"/>
      <c r="R3" s="307"/>
      <c r="S3" s="307"/>
      <c r="T3" s="307"/>
      <c r="U3" s="307"/>
      <c r="V3" s="307"/>
      <c r="W3" s="307"/>
      <c r="X3" s="307"/>
      <c r="Y3" s="307"/>
      <c r="Z3" s="307"/>
      <c r="AA3" s="307"/>
      <c r="AB3" s="307"/>
      <c r="AC3" s="307"/>
      <c r="AD3" s="307"/>
      <c r="AE3" s="307"/>
      <c r="AF3" s="307"/>
      <c r="AG3" s="307"/>
      <c r="AH3" s="307"/>
      <c r="AI3" s="307"/>
      <c r="AJ3" s="307"/>
      <c r="AK3" s="307"/>
      <c r="AL3" s="308"/>
    </row>
    <row r="4" spans="2:43" ht="33.75" customHeight="1" thickBot="1" x14ac:dyDescent="0.3">
      <c r="B4" s="400" t="s">
        <v>10</v>
      </c>
      <c r="C4" s="403" t="s">
        <v>7</v>
      </c>
      <c r="D4" s="404"/>
      <c r="F4" s="312" t="s">
        <v>8</v>
      </c>
      <c r="G4" s="313"/>
      <c r="H4" s="313"/>
      <c r="I4" s="313"/>
      <c r="J4" s="313"/>
      <c r="K4" s="313"/>
      <c r="L4" s="313"/>
      <c r="M4" s="313"/>
      <c r="N4" s="313"/>
      <c r="O4" s="313"/>
      <c r="P4" s="313"/>
      <c r="Q4" s="313"/>
      <c r="R4" s="313"/>
      <c r="S4" s="313"/>
      <c r="T4" s="313"/>
      <c r="U4" s="313"/>
      <c r="V4" s="313"/>
      <c r="W4" s="313"/>
      <c r="X4" s="313"/>
      <c r="Y4" s="313"/>
      <c r="Z4" s="313"/>
      <c r="AA4" s="313"/>
      <c r="AB4" s="313"/>
      <c r="AC4" s="313"/>
      <c r="AD4" s="313"/>
      <c r="AE4" s="313"/>
      <c r="AF4" s="313"/>
      <c r="AG4" s="313"/>
      <c r="AH4" s="313"/>
      <c r="AI4" s="313"/>
      <c r="AJ4" s="313"/>
      <c r="AK4" s="313"/>
      <c r="AL4" s="314"/>
    </row>
    <row r="5" spans="2:43" ht="23.25" customHeight="1" thickBot="1" x14ac:dyDescent="0.3">
      <c r="B5" s="401"/>
      <c r="C5" s="408" t="s">
        <v>9</v>
      </c>
      <c r="D5" s="409"/>
      <c r="F5" s="315"/>
      <c r="G5" s="316"/>
      <c r="H5" s="316"/>
      <c r="I5" s="316"/>
      <c r="J5" s="316"/>
      <c r="K5" s="316"/>
      <c r="L5" s="316"/>
      <c r="M5" s="316"/>
      <c r="N5" s="316"/>
      <c r="O5" s="316"/>
      <c r="P5" s="316"/>
      <c r="Q5" s="316"/>
      <c r="R5" s="316"/>
      <c r="S5" s="316"/>
      <c r="T5" s="316"/>
      <c r="U5" s="316"/>
      <c r="V5" s="316"/>
      <c r="W5" s="316"/>
      <c r="X5" s="316"/>
      <c r="Y5" s="316"/>
      <c r="Z5" s="316"/>
      <c r="AA5" s="316"/>
      <c r="AB5" s="316"/>
      <c r="AC5" s="316"/>
      <c r="AD5" s="316"/>
      <c r="AE5" s="316"/>
      <c r="AF5" s="316"/>
      <c r="AG5" s="316"/>
      <c r="AH5" s="316"/>
      <c r="AI5" s="316"/>
      <c r="AJ5" s="316"/>
      <c r="AK5" s="316"/>
      <c r="AL5" s="317"/>
      <c r="AM5" s="40"/>
      <c r="AN5" s="40"/>
    </row>
    <row r="6" spans="2:43" ht="23.25" customHeight="1" thickBot="1" x14ac:dyDescent="0.3">
      <c r="B6" s="407" t="s">
        <v>89</v>
      </c>
      <c r="C6" s="50" t="s">
        <v>7</v>
      </c>
      <c r="D6" s="50" t="s">
        <v>11</v>
      </c>
      <c r="F6" s="385">
        <f>B3</f>
        <v>45231</v>
      </c>
      <c r="G6" s="165"/>
      <c r="H6" s="321" t="s">
        <v>2</v>
      </c>
      <c r="I6" s="321"/>
      <c r="J6" s="321"/>
      <c r="K6" s="321"/>
      <c r="L6" s="321"/>
      <c r="M6" s="321"/>
      <c r="N6" s="321"/>
      <c r="O6" s="321"/>
      <c r="P6" s="321"/>
      <c r="Q6" s="321"/>
      <c r="R6" s="321"/>
      <c r="S6" s="321"/>
      <c r="T6" s="321"/>
      <c r="U6" s="321"/>
      <c r="V6" s="321"/>
      <c r="W6" s="321"/>
      <c r="X6" s="321"/>
      <c r="Y6" s="321"/>
      <c r="Z6" s="321"/>
      <c r="AA6" s="321"/>
      <c r="AB6" s="321"/>
      <c r="AC6" s="321"/>
      <c r="AD6" s="321"/>
      <c r="AE6" s="321"/>
      <c r="AF6" s="321"/>
      <c r="AG6" s="321"/>
      <c r="AH6" s="321"/>
      <c r="AI6" s="321"/>
      <c r="AJ6" s="321"/>
      <c r="AK6" s="321"/>
      <c r="AL6" s="322"/>
      <c r="AM6" s="40"/>
      <c r="AN6" s="40"/>
    </row>
    <row r="7" spans="2:43" s="40" customFormat="1" ht="18" customHeight="1" thickTop="1" x14ac:dyDescent="0.3">
      <c r="B7" s="95">
        <v>1</v>
      </c>
      <c r="C7" s="173">
        <v>35</v>
      </c>
      <c r="D7" s="175">
        <v>12</v>
      </c>
      <c r="E7" s="38"/>
      <c r="F7" s="386"/>
      <c r="G7" s="154"/>
      <c r="H7" s="157">
        <v>1</v>
      </c>
      <c r="I7" s="157">
        <v>2</v>
      </c>
      <c r="J7" s="157">
        <v>3</v>
      </c>
      <c r="K7" s="157">
        <v>4</v>
      </c>
      <c r="L7" s="157">
        <v>5</v>
      </c>
      <c r="M7" s="157">
        <v>6</v>
      </c>
      <c r="N7" s="157">
        <v>7</v>
      </c>
      <c r="O7" s="157">
        <v>8</v>
      </c>
      <c r="P7" s="157">
        <v>9</v>
      </c>
      <c r="Q7" s="157">
        <v>10</v>
      </c>
      <c r="R7" s="157">
        <v>11</v>
      </c>
      <c r="S7" s="157">
        <v>12</v>
      </c>
      <c r="T7" s="157">
        <v>13</v>
      </c>
      <c r="U7" s="157">
        <v>14</v>
      </c>
      <c r="V7" s="157">
        <v>15</v>
      </c>
      <c r="W7" s="157">
        <v>16</v>
      </c>
      <c r="X7" s="157">
        <v>17</v>
      </c>
      <c r="Y7" s="157">
        <v>18</v>
      </c>
      <c r="Z7" s="157">
        <v>19</v>
      </c>
      <c r="AA7" s="157">
        <v>20</v>
      </c>
      <c r="AB7" s="157">
        <v>21</v>
      </c>
      <c r="AC7" s="157">
        <v>22</v>
      </c>
      <c r="AD7" s="157">
        <v>23</v>
      </c>
      <c r="AE7" s="157">
        <v>24</v>
      </c>
      <c r="AF7" s="157">
        <v>25</v>
      </c>
      <c r="AG7" s="157">
        <v>26</v>
      </c>
      <c r="AH7" s="157">
        <v>27</v>
      </c>
      <c r="AI7" s="157">
        <v>28</v>
      </c>
      <c r="AJ7" s="157">
        <v>29</v>
      </c>
      <c r="AK7" s="157">
        <v>30</v>
      </c>
      <c r="AL7" s="158">
        <v>31</v>
      </c>
    </row>
    <row r="8" spans="2:43" s="40" customFormat="1" ht="18" customHeight="1" x14ac:dyDescent="0.3">
      <c r="B8" s="56">
        <v>2</v>
      </c>
      <c r="C8" s="174">
        <v>37</v>
      </c>
      <c r="D8" s="176">
        <v>16</v>
      </c>
      <c r="E8" s="38"/>
      <c r="F8" s="386"/>
      <c r="G8" s="159" t="s">
        <v>7</v>
      </c>
      <c r="H8" s="163">
        <f t="array" ref="H8:AL8">TRANSPOSE(C7:C37)</f>
        <v>35</v>
      </c>
      <c r="I8" s="163">
        <v>37</v>
      </c>
      <c r="J8" s="163">
        <v>40</v>
      </c>
      <c r="K8" s="163">
        <v>33</v>
      </c>
      <c r="L8" s="163">
        <v>36</v>
      </c>
      <c r="M8" s="163">
        <v>37</v>
      </c>
      <c r="N8" s="163">
        <v>37</v>
      </c>
      <c r="O8" s="163">
        <v>37</v>
      </c>
      <c r="P8" s="163">
        <v>36</v>
      </c>
      <c r="Q8" s="163">
        <v>40</v>
      </c>
      <c r="R8" s="163">
        <v>33</v>
      </c>
      <c r="S8" s="163">
        <v>37</v>
      </c>
      <c r="T8" s="163">
        <v>37</v>
      </c>
      <c r="U8" s="163">
        <v>37</v>
      </c>
      <c r="V8" s="163">
        <v>37</v>
      </c>
      <c r="W8" s="163">
        <v>37</v>
      </c>
      <c r="X8" s="163">
        <v>40</v>
      </c>
      <c r="Y8" s="163">
        <v>33</v>
      </c>
      <c r="Z8" s="163">
        <v>36</v>
      </c>
      <c r="AA8" s="163">
        <v>36</v>
      </c>
      <c r="AB8" s="163">
        <v>37</v>
      </c>
      <c r="AC8" s="163">
        <v>37</v>
      </c>
      <c r="AD8" s="163">
        <v>37</v>
      </c>
      <c r="AE8" s="163">
        <v>36</v>
      </c>
      <c r="AF8" s="163">
        <v>33</v>
      </c>
      <c r="AG8" s="163">
        <v>37</v>
      </c>
      <c r="AH8" s="163">
        <v>37</v>
      </c>
      <c r="AI8" s="163">
        <v>37</v>
      </c>
      <c r="AJ8" s="163">
        <v>37</v>
      </c>
      <c r="AK8" s="163">
        <v>37</v>
      </c>
      <c r="AL8" s="164">
        <v>0</v>
      </c>
      <c r="AM8" s="40">
        <f>SUM(H8:AL8)</f>
        <v>1096</v>
      </c>
    </row>
    <row r="9" spans="2:43" s="40" customFormat="1" ht="18" customHeight="1" x14ac:dyDescent="0.3">
      <c r="B9" s="56">
        <v>3</v>
      </c>
      <c r="C9" s="174">
        <v>40</v>
      </c>
      <c r="D9" s="176">
        <v>16</v>
      </c>
      <c r="E9" s="38"/>
      <c r="F9" s="386"/>
      <c r="G9" s="159" t="s">
        <v>11</v>
      </c>
      <c r="H9" s="163">
        <f t="array" ref="H9:AL9">TRANSPOSE(D7:D37)</f>
        <v>12</v>
      </c>
      <c r="I9" s="163">
        <v>16</v>
      </c>
      <c r="J9" s="163">
        <v>16</v>
      </c>
      <c r="K9" s="163">
        <v>12</v>
      </c>
      <c r="L9" s="163">
        <v>12</v>
      </c>
      <c r="M9" s="163">
        <v>16</v>
      </c>
      <c r="N9" s="163">
        <v>16</v>
      </c>
      <c r="O9" s="163">
        <v>16</v>
      </c>
      <c r="P9" s="163">
        <v>16</v>
      </c>
      <c r="Q9" s="163">
        <v>16</v>
      </c>
      <c r="R9" s="163">
        <v>12</v>
      </c>
      <c r="S9" s="163">
        <v>12</v>
      </c>
      <c r="T9" s="163">
        <v>16</v>
      </c>
      <c r="U9" s="163">
        <v>16</v>
      </c>
      <c r="V9" s="163">
        <v>16</v>
      </c>
      <c r="W9" s="163">
        <v>16</v>
      </c>
      <c r="X9" s="163">
        <v>16</v>
      </c>
      <c r="Y9" s="163">
        <v>12</v>
      </c>
      <c r="Z9" s="163">
        <v>12</v>
      </c>
      <c r="AA9" s="163">
        <v>16</v>
      </c>
      <c r="AB9" s="163">
        <v>16</v>
      </c>
      <c r="AC9" s="163">
        <v>16</v>
      </c>
      <c r="AD9" s="163">
        <v>16</v>
      </c>
      <c r="AE9" s="163">
        <v>16</v>
      </c>
      <c r="AF9" s="163">
        <v>12</v>
      </c>
      <c r="AG9" s="163">
        <v>12</v>
      </c>
      <c r="AH9" s="163">
        <v>16</v>
      </c>
      <c r="AI9" s="163">
        <v>16</v>
      </c>
      <c r="AJ9" s="163">
        <v>16</v>
      </c>
      <c r="AK9" s="163">
        <v>16</v>
      </c>
      <c r="AL9" s="164">
        <v>0</v>
      </c>
      <c r="AM9" s="40">
        <f t="shared" ref="AM9:AM10" si="0">SUM(H9:AL9)</f>
        <v>444</v>
      </c>
    </row>
    <row r="10" spans="2:43" s="40" customFormat="1" ht="18" customHeight="1" thickBot="1" x14ac:dyDescent="0.35">
      <c r="B10" s="56">
        <v>4</v>
      </c>
      <c r="C10" s="174">
        <v>33</v>
      </c>
      <c r="D10" s="176">
        <v>12</v>
      </c>
      <c r="E10" s="38"/>
      <c r="F10" s="387"/>
      <c r="G10" s="160" t="s">
        <v>3</v>
      </c>
      <c r="H10" s="161">
        <f>H8+H9</f>
        <v>47</v>
      </c>
      <c r="I10" s="161">
        <f t="shared" ref="I10:AL10" si="1">I8+I9</f>
        <v>53</v>
      </c>
      <c r="J10" s="161">
        <f t="shared" si="1"/>
        <v>56</v>
      </c>
      <c r="K10" s="161">
        <f t="shared" si="1"/>
        <v>45</v>
      </c>
      <c r="L10" s="161">
        <f t="shared" si="1"/>
        <v>48</v>
      </c>
      <c r="M10" s="161">
        <f t="shared" si="1"/>
        <v>53</v>
      </c>
      <c r="N10" s="161">
        <f t="shared" si="1"/>
        <v>53</v>
      </c>
      <c r="O10" s="161">
        <f t="shared" si="1"/>
        <v>53</v>
      </c>
      <c r="P10" s="161">
        <f t="shared" si="1"/>
        <v>52</v>
      </c>
      <c r="Q10" s="161">
        <f t="shared" si="1"/>
        <v>56</v>
      </c>
      <c r="R10" s="161">
        <f t="shared" si="1"/>
        <v>45</v>
      </c>
      <c r="S10" s="161">
        <f t="shared" si="1"/>
        <v>49</v>
      </c>
      <c r="T10" s="161">
        <f t="shared" si="1"/>
        <v>53</v>
      </c>
      <c r="U10" s="161">
        <f t="shared" si="1"/>
        <v>53</v>
      </c>
      <c r="V10" s="161">
        <f t="shared" si="1"/>
        <v>53</v>
      </c>
      <c r="W10" s="161">
        <f t="shared" si="1"/>
        <v>53</v>
      </c>
      <c r="X10" s="161">
        <f t="shared" si="1"/>
        <v>56</v>
      </c>
      <c r="Y10" s="161">
        <f t="shared" si="1"/>
        <v>45</v>
      </c>
      <c r="Z10" s="161">
        <f t="shared" si="1"/>
        <v>48</v>
      </c>
      <c r="AA10" s="161">
        <f t="shared" si="1"/>
        <v>52</v>
      </c>
      <c r="AB10" s="161">
        <f t="shared" si="1"/>
        <v>53</v>
      </c>
      <c r="AC10" s="161">
        <f t="shared" si="1"/>
        <v>53</v>
      </c>
      <c r="AD10" s="161">
        <f t="shared" si="1"/>
        <v>53</v>
      </c>
      <c r="AE10" s="161">
        <f t="shared" si="1"/>
        <v>52</v>
      </c>
      <c r="AF10" s="161">
        <f t="shared" si="1"/>
        <v>45</v>
      </c>
      <c r="AG10" s="161">
        <f t="shared" si="1"/>
        <v>49</v>
      </c>
      <c r="AH10" s="161">
        <f t="shared" si="1"/>
        <v>53</v>
      </c>
      <c r="AI10" s="161">
        <f t="shared" si="1"/>
        <v>53</v>
      </c>
      <c r="AJ10" s="161">
        <f t="shared" si="1"/>
        <v>53</v>
      </c>
      <c r="AK10" s="161">
        <f t="shared" si="1"/>
        <v>53</v>
      </c>
      <c r="AL10" s="162">
        <f t="shared" si="1"/>
        <v>0</v>
      </c>
      <c r="AM10" s="40">
        <f t="shared" si="0"/>
        <v>1540</v>
      </c>
    </row>
    <row r="11" spans="2:43" s="40" customFormat="1" ht="18" customHeight="1" x14ac:dyDescent="0.3">
      <c r="B11" s="56">
        <v>5</v>
      </c>
      <c r="C11" s="174">
        <v>36</v>
      </c>
      <c r="D11" s="176">
        <v>12</v>
      </c>
      <c r="E11" s="38"/>
      <c r="F11" s="46"/>
      <c r="G11" s="46"/>
      <c r="H11" s="46"/>
      <c r="I11" s="46"/>
      <c r="J11" s="46"/>
      <c r="K11" s="46"/>
      <c r="L11" s="46"/>
      <c r="M11" s="46"/>
      <c r="N11" s="46"/>
      <c r="O11" s="46"/>
      <c r="P11" s="46"/>
      <c r="Q11" s="46"/>
      <c r="R11" s="46"/>
      <c r="S11" s="46"/>
      <c r="T11" s="46"/>
      <c r="U11" s="46"/>
      <c r="V11" s="46"/>
      <c r="W11" s="46"/>
      <c r="X11" s="46"/>
      <c r="Y11" s="46"/>
      <c r="Z11" s="46"/>
      <c r="AA11" s="46"/>
      <c r="AB11" s="46"/>
      <c r="AC11" s="46"/>
      <c r="AD11" s="46"/>
      <c r="AE11" s="46"/>
      <c r="AF11" s="46"/>
      <c r="AG11" s="46"/>
      <c r="AH11" s="46"/>
      <c r="AI11" s="46"/>
      <c r="AJ11" s="46"/>
      <c r="AK11" s="46"/>
      <c r="AL11" s="46"/>
    </row>
    <row r="12" spans="2:43" s="40" customFormat="1" ht="18" customHeight="1" x14ac:dyDescent="0.3">
      <c r="B12" s="56">
        <v>6</v>
      </c>
      <c r="C12" s="174">
        <v>37</v>
      </c>
      <c r="D12" s="176">
        <v>16</v>
      </c>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row>
    <row r="13" spans="2:43" s="40" customFormat="1" ht="18" customHeight="1" x14ac:dyDescent="0.3">
      <c r="B13" s="56">
        <v>7</v>
      </c>
      <c r="C13" s="174">
        <v>37</v>
      </c>
      <c r="D13" s="176">
        <v>16</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row>
    <row r="14" spans="2:43" s="40" customFormat="1" ht="18" customHeight="1" x14ac:dyDescent="0.3">
      <c r="B14" s="56">
        <v>8</v>
      </c>
      <c r="C14" s="174">
        <v>37</v>
      </c>
      <c r="D14" s="176">
        <v>16</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9</v>
      </c>
      <c r="C15" s="174">
        <v>36</v>
      </c>
      <c r="D15" s="176">
        <v>16</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10</v>
      </c>
      <c r="C16" s="174">
        <v>40</v>
      </c>
      <c r="D16" s="176">
        <v>16</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0" s="40" customFormat="1" ht="18" customHeight="1" x14ac:dyDescent="0.3">
      <c r="B17" s="56">
        <v>11</v>
      </c>
      <c r="C17" s="174">
        <v>33</v>
      </c>
      <c r="D17" s="176">
        <v>12</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row>
    <row r="18" spans="2:40" s="40" customFormat="1" ht="18" customHeight="1" x14ac:dyDescent="0.3">
      <c r="B18" s="56">
        <v>12</v>
      </c>
      <c r="C18" s="174">
        <v>37</v>
      </c>
      <c r="D18" s="176">
        <v>12</v>
      </c>
      <c r="E18" s="53"/>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0" s="40" customFormat="1" ht="18" customHeight="1" x14ac:dyDescent="0.3">
      <c r="B19" s="56">
        <v>13</v>
      </c>
      <c r="C19" s="174">
        <v>37</v>
      </c>
      <c r="D19" s="176">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0" s="40" customFormat="1" ht="18" customHeight="1" x14ac:dyDescent="0.3">
      <c r="B20" s="56">
        <v>14</v>
      </c>
      <c r="C20" s="174">
        <v>37</v>
      </c>
      <c r="D20" s="176">
        <v>16</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0" s="40" customFormat="1" ht="18" customHeight="1" x14ac:dyDescent="0.3">
      <c r="B21" s="56">
        <v>15</v>
      </c>
      <c r="C21" s="174">
        <v>37</v>
      </c>
      <c r="D21" s="176">
        <v>16</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0" s="40" customFormat="1" ht="18" customHeight="1" x14ac:dyDescent="0.3">
      <c r="B22" s="56">
        <v>16</v>
      </c>
      <c r="C22" s="174">
        <v>37</v>
      </c>
      <c r="D22" s="176">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0" s="40" customFormat="1" ht="18" customHeight="1" x14ac:dyDescent="0.3">
      <c r="B23" s="56">
        <v>17</v>
      </c>
      <c r="C23" s="174">
        <v>40</v>
      </c>
      <c r="D23" s="176">
        <v>16</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0" s="40" customFormat="1" ht="18" customHeight="1" x14ac:dyDescent="0.3">
      <c r="B24" s="56">
        <v>18</v>
      </c>
      <c r="C24" s="174">
        <v>33</v>
      </c>
      <c r="D24" s="176">
        <v>12</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0" s="40" customFormat="1" ht="18" customHeight="1" x14ac:dyDescent="0.3">
      <c r="B25" s="56">
        <v>19</v>
      </c>
      <c r="C25" s="174">
        <v>36</v>
      </c>
      <c r="D25" s="176">
        <v>12</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0" s="40" customFormat="1" ht="18" customHeight="1" x14ac:dyDescent="0.3">
      <c r="B26" s="56">
        <v>20</v>
      </c>
      <c r="C26" s="174">
        <v>36</v>
      </c>
      <c r="D26" s="176">
        <v>16</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0" s="40" customFormat="1" ht="18" customHeight="1" x14ac:dyDescent="0.3">
      <c r="B27" s="56">
        <v>21</v>
      </c>
      <c r="C27" s="174">
        <v>37</v>
      </c>
      <c r="D27" s="176">
        <v>16</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0" s="40" customFormat="1" ht="18" customHeight="1" x14ac:dyDescent="0.3">
      <c r="B28" s="56">
        <v>22</v>
      </c>
      <c r="C28" s="174">
        <v>37</v>
      </c>
      <c r="D28" s="176">
        <v>16</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0" s="40" customFormat="1" ht="18" customHeight="1" x14ac:dyDescent="0.3">
      <c r="B29" s="56">
        <v>23</v>
      </c>
      <c r="C29" s="174">
        <v>37</v>
      </c>
      <c r="D29" s="176">
        <v>16</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0" s="40" customFormat="1" ht="18" customHeight="1" x14ac:dyDescent="0.3">
      <c r="B30" s="56">
        <v>24</v>
      </c>
      <c r="C30" s="174">
        <v>36</v>
      </c>
      <c r="D30" s="176">
        <v>16</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0" s="40" customFormat="1" ht="18" customHeight="1" x14ac:dyDescent="0.3">
      <c r="B31" s="56">
        <v>25</v>
      </c>
      <c r="C31" s="174">
        <v>33</v>
      </c>
      <c r="D31" s="176">
        <v>12</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0" s="40" customFormat="1" ht="18" customHeight="1" x14ac:dyDescent="0.3">
      <c r="B32" s="56">
        <v>26</v>
      </c>
      <c r="C32" s="174">
        <v>37</v>
      </c>
      <c r="D32" s="176">
        <v>12</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27</v>
      </c>
      <c r="C33" s="174">
        <v>37</v>
      </c>
      <c r="D33" s="176">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28</v>
      </c>
      <c r="C34" s="174">
        <v>37</v>
      </c>
      <c r="D34" s="176">
        <v>16</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29</v>
      </c>
      <c r="C35" s="174">
        <v>37</v>
      </c>
      <c r="D35" s="176">
        <v>16</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30</v>
      </c>
      <c r="C36" s="174">
        <v>37</v>
      </c>
      <c r="D36" s="176">
        <v>16</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thickBot="1" x14ac:dyDescent="0.35">
      <c r="B37" s="89">
        <v>31</v>
      </c>
      <c r="C37" s="170"/>
      <c r="D37" s="172"/>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23.25" customHeight="1" thickTop="1" thickBot="1" x14ac:dyDescent="0.3">
      <c r="B38" s="92" t="s">
        <v>3</v>
      </c>
      <c r="C38" s="93">
        <f>SUM(C7:C37)</f>
        <v>1096</v>
      </c>
      <c r="D38" s="94">
        <f>SUM(D7:D37)</f>
        <v>444</v>
      </c>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x14ac:dyDescent="0.25">
      <c r="B39" s="37"/>
      <c r="C39" s="38"/>
      <c r="D39" s="38"/>
      <c r="E39" s="38"/>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c r="AO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ht="17.399999999999999" x14ac:dyDescent="0.25">
      <c r="F41" s="40"/>
      <c r="G41" s="40"/>
    </row>
  </sheetData>
  <mergeCells count="9">
    <mergeCell ref="B2:D2"/>
    <mergeCell ref="F2:AL3"/>
    <mergeCell ref="B3:D3"/>
    <mergeCell ref="B4:B6"/>
    <mergeCell ref="C4:D4"/>
    <mergeCell ref="F4:AL5"/>
    <mergeCell ref="C5:D5"/>
    <mergeCell ref="F6:F10"/>
    <mergeCell ref="H6:AL6"/>
  </mergeCells>
  <pageMargins left="0.75" right="0.75" top="1" bottom="1" header="0" footer="0"/>
  <pageSetup paperSize="9" scale="26" orientation="landscape" horizontalDpi="300" verticalDpi="300"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E072B-A87C-43B4-95CD-FDE0C010D300}">
  <sheetPr codeName="Hoja17">
    <pageSetUpPr fitToPage="1"/>
  </sheetPr>
  <dimension ref="B1:AQ42"/>
  <sheetViews>
    <sheetView showGridLines="0" zoomScale="70" zoomScaleNormal="70" workbookViewId="0">
      <selection activeCell="H11" sqref="H11:AL11"/>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42"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97">
        <v>45261</v>
      </c>
      <c r="C4" s="398"/>
      <c r="D4" s="399"/>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400" t="s">
        <v>10</v>
      </c>
      <c r="C5" s="403" t="s">
        <v>7</v>
      </c>
      <c r="D5" s="404"/>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401"/>
      <c r="C6" s="408" t="s">
        <v>9</v>
      </c>
      <c r="D6" s="409"/>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407" t="s">
        <v>89</v>
      </c>
      <c r="C7" s="178" t="s">
        <v>7</v>
      </c>
      <c r="D7" s="179" t="s">
        <v>11</v>
      </c>
      <c r="F7" s="385">
        <f>B4</f>
        <v>45261</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x14ac:dyDescent="0.3">
      <c r="B8" s="95">
        <v>1</v>
      </c>
      <c r="C8" s="173">
        <v>40</v>
      </c>
      <c r="D8" s="177">
        <v>16</v>
      </c>
      <c r="E8" s="38"/>
      <c r="F8" s="386"/>
      <c r="G8" s="154"/>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v>34</v>
      </c>
      <c r="D9" s="176">
        <v>12</v>
      </c>
      <c r="E9" s="38"/>
      <c r="F9" s="386"/>
      <c r="G9" s="159" t="s">
        <v>7</v>
      </c>
      <c r="H9" s="163">
        <f t="array" ref="H9:AL9">TRANSPOSE(C8:C38)</f>
        <v>40</v>
      </c>
      <c r="I9" s="163">
        <v>34</v>
      </c>
      <c r="J9" s="163">
        <v>36</v>
      </c>
      <c r="K9" s="163">
        <v>37</v>
      </c>
      <c r="L9" s="163">
        <v>37</v>
      </c>
      <c r="M9" s="163">
        <v>34</v>
      </c>
      <c r="N9" s="163">
        <v>37</v>
      </c>
      <c r="O9" s="163">
        <v>35</v>
      </c>
      <c r="P9" s="163">
        <v>33</v>
      </c>
      <c r="Q9" s="163">
        <v>39</v>
      </c>
      <c r="R9" s="163">
        <v>38</v>
      </c>
      <c r="S9" s="163">
        <v>38</v>
      </c>
      <c r="T9" s="163">
        <v>38</v>
      </c>
      <c r="U9" s="163">
        <v>40</v>
      </c>
      <c r="V9" s="163">
        <v>43</v>
      </c>
      <c r="W9" s="163">
        <v>35</v>
      </c>
      <c r="X9" s="163">
        <v>39</v>
      </c>
      <c r="Y9" s="163">
        <v>40</v>
      </c>
      <c r="Z9" s="163">
        <v>40</v>
      </c>
      <c r="AA9" s="163">
        <v>40</v>
      </c>
      <c r="AB9" s="163">
        <v>40</v>
      </c>
      <c r="AC9" s="163">
        <v>43</v>
      </c>
      <c r="AD9" s="163">
        <v>35</v>
      </c>
      <c r="AE9" s="163">
        <v>30</v>
      </c>
      <c r="AF9" s="163">
        <v>31</v>
      </c>
      <c r="AG9" s="163">
        <v>40</v>
      </c>
      <c r="AH9" s="163">
        <v>40</v>
      </c>
      <c r="AI9" s="163">
        <v>40</v>
      </c>
      <c r="AJ9" s="163">
        <v>43</v>
      </c>
      <c r="AK9" s="163">
        <v>35</v>
      </c>
      <c r="AL9" s="164">
        <v>31</v>
      </c>
    </row>
    <row r="10" spans="2:43" s="40" customFormat="1" ht="18" customHeight="1" x14ac:dyDescent="0.3">
      <c r="B10" s="56">
        <v>3</v>
      </c>
      <c r="C10" s="174">
        <v>36</v>
      </c>
      <c r="D10" s="176">
        <v>12</v>
      </c>
      <c r="E10" s="38"/>
      <c r="F10" s="386"/>
      <c r="G10" s="159" t="s">
        <v>11</v>
      </c>
      <c r="H10" s="163">
        <f t="array" ref="H10:AL10">TRANSPOSE(D8:D38)</f>
        <v>16</v>
      </c>
      <c r="I10" s="163">
        <v>12</v>
      </c>
      <c r="J10" s="163">
        <v>12</v>
      </c>
      <c r="K10" s="163">
        <v>16</v>
      </c>
      <c r="L10" s="163">
        <v>16</v>
      </c>
      <c r="M10" s="163">
        <v>12</v>
      </c>
      <c r="N10" s="163">
        <v>16</v>
      </c>
      <c r="O10" s="163">
        <v>9</v>
      </c>
      <c r="P10" s="163">
        <v>9</v>
      </c>
      <c r="Q10" s="163">
        <v>12</v>
      </c>
      <c r="R10" s="163">
        <v>16</v>
      </c>
      <c r="S10" s="163">
        <v>16</v>
      </c>
      <c r="T10" s="163">
        <v>16</v>
      </c>
      <c r="U10" s="163">
        <v>16</v>
      </c>
      <c r="V10" s="163">
        <v>16</v>
      </c>
      <c r="W10" s="163">
        <v>12</v>
      </c>
      <c r="X10" s="163">
        <v>12</v>
      </c>
      <c r="Y10" s="163">
        <v>16</v>
      </c>
      <c r="Z10" s="163">
        <v>16</v>
      </c>
      <c r="AA10" s="163">
        <v>16</v>
      </c>
      <c r="AB10" s="163">
        <v>16</v>
      </c>
      <c r="AC10" s="163">
        <v>16</v>
      </c>
      <c r="AD10" s="163">
        <v>12</v>
      </c>
      <c r="AE10" s="163">
        <v>12</v>
      </c>
      <c r="AF10" s="163">
        <v>12</v>
      </c>
      <c r="AG10" s="163">
        <v>16</v>
      </c>
      <c r="AH10" s="163">
        <v>16</v>
      </c>
      <c r="AI10" s="163">
        <v>16</v>
      </c>
      <c r="AJ10" s="163">
        <v>16</v>
      </c>
      <c r="AK10" s="163">
        <v>12</v>
      </c>
      <c r="AL10" s="164">
        <v>12</v>
      </c>
    </row>
    <row r="11" spans="2:43" s="40" customFormat="1" ht="18" customHeight="1" thickBot="1" x14ac:dyDescent="0.35">
      <c r="B11" s="56">
        <v>4</v>
      </c>
      <c r="C11" s="174">
        <v>37</v>
      </c>
      <c r="D11" s="176">
        <v>16</v>
      </c>
      <c r="E11" s="38"/>
      <c r="F11" s="387"/>
      <c r="G11" s="160" t="s">
        <v>3</v>
      </c>
      <c r="H11" s="161">
        <f>H9+H10</f>
        <v>56</v>
      </c>
      <c r="I11" s="161">
        <f t="shared" ref="I11:AL11" si="0">I9+I10</f>
        <v>46</v>
      </c>
      <c r="J11" s="161">
        <f t="shared" si="0"/>
        <v>48</v>
      </c>
      <c r="K11" s="161">
        <f t="shared" si="0"/>
        <v>53</v>
      </c>
      <c r="L11" s="161">
        <f t="shared" si="0"/>
        <v>53</v>
      </c>
      <c r="M11" s="161">
        <f t="shared" si="0"/>
        <v>46</v>
      </c>
      <c r="N11" s="161">
        <f t="shared" si="0"/>
        <v>53</v>
      </c>
      <c r="O11" s="161">
        <f t="shared" si="0"/>
        <v>44</v>
      </c>
      <c r="P11" s="161">
        <f t="shared" si="0"/>
        <v>42</v>
      </c>
      <c r="Q11" s="161">
        <f t="shared" si="0"/>
        <v>51</v>
      </c>
      <c r="R11" s="161">
        <f t="shared" si="0"/>
        <v>54</v>
      </c>
      <c r="S11" s="161">
        <f t="shared" si="0"/>
        <v>54</v>
      </c>
      <c r="T11" s="161">
        <f t="shared" si="0"/>
        <v>54</v>
      </c>
      <c r="U11" s="161">
        <f t="shared" si="0"/>
        <v>56</v>
      </c>
      <c r="V11" s="161">
        <f t="shared" si="0"/>
        <v>59</v>
      </c>
      <c r="W11" s="161">
        <f t="shared" si="0"/>
        <v>47</v>
      </c>
      <c r="X11" s="161">
        <f t="shared" si="0"/>
        <v>51</v>
      </c>
      <c r="Y11" s="161">
        <f t="shared" si="0"/>
        <v>56</v>
      </c>
      <c r="Z11" s="161">
        <f t="shared" si="0"/>
        <v>56</v>
      </c>
      <c r="AA11" s="161">
        <f t="shared" si="0"/>
        <v>56</v>
      </c>
      <c r="AB11" s="161">
        <f t="shared" si="0"/>
        <v>56</v>
      </c>
      <c r="AC11" s="161">
        <f t="shared" si="0"/>
        <v>59</v>
      </c>
      <c r="AD11" s="161">
        <f t="shared" si="0"/>
        <v>47</v>
      </c>
      <c r="AE11" s="161">
        <f t="shared" si="0"/>
        <v>42</v>
      </c>
      <c r="AF11" s="161">
        <f t="shared" si="0"/>
        <v>43</v>
      </c>
      <c r="AG11" s="161">
        <f t="shared" si="0"/>
        <v>56</v>
      </c>
      <c r="AH11" s="161">
        <f t="shared" si="0"/>
        <v>56</v>
      </c>
      <c r="AI11" s="161">
        <f t="shared" si="0"/>
        <v>56</v>
      </c>
      <c r="AJ11" s="161">
        <f t="shared" si="0"/>
        <v>59</v>
      </c>
      <c r="AK11" s="161">
        <f t="shared" si="0"/>
        <v>47</v>
      </c>
      <c r="AL11" s="162">
        <f t="shared" si="0"/>
        <v>43</v>
      </c>
    </row>
    <row r="12" spans="2:43" s="40" customFormat="1" ht="18" customHeight="1" x14ac:dyDescent="0.3">
      <c r="B12" s="56">
        <v>5</v>
      </c>
      <c r="C12" s="174">
        <v>37</v>
      </c>
      <c r="D12" s="176">
        <v>16</v>
      </c>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x14ac:dyDescent="0.3">
      <c r="B13" s="56">
        <v>6</v>
      </c>
      <c r="C13" s="174">
        <v>34</v>
      </c>
      <c r="D13" s="176">
        <v>12</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v>37</v>
      </c>
      <c r="D14" s="176">
        <v>16</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8</v>
      </c>
      <c r="C15" s="174">
        <v>35</v>
      </c>
      <c r="D15" s="176">
        <v>9</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9</v>
      </c>
      <c r="C16" s="174">
        <v>33</v>
      </c>
      <c r="D16" s="176">
        <v>9</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18" customHeight="1" x14ac:dyDescent="0.3">
      <c r="B17" s="56">
        <v>10</v>
      </c>
      <c r="C17" s="174">
        <v>39</v>
      </c>
      <c r="D17" s="176">
        <v>12</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18" customHeight="1" x14ac:dyDescent="0.3">
      <c r="B18" s="56">
        <v>11</v>
      </c>
      <c r="C18" s="174">
        <v>38</v>
      </c>
      <c r="D18" s="176">
        <v>16</v>
      </c>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3" s="40" customFormat="1" ht="18" customHeight="1" x14ac:dyDescent="0.3">
      <c r="B19" s="56">
        <v>12</v>
      </c>
      <c r="C19" s="174">
        <v>38</v>
      </c>
      <c r="D19" s="176">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3" s="40" customFormat="1" ht="18" customHeight="1" x14ac:dyDescent="0.3">
      <c r="B20" s="56">
        <v>13</v>
      </c>
      <c r="C20" s="174">
        <v>38</v>
      </c>
      <c r="D20" s="176">
        <v>16</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3" s="40" customFormat="1" ht="18" customHeight="1" x14ac:dyDescent="0.3">
      <c r="B21" s="56">
        <v>14</v>
      </c>
      <c r="C21" s="174">
        <v>40</v>
      </c>
      <c r="D21" s="176">
        <v>16</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3" s="40" customFormat="1" ht="18" customHeight="1" x14ac:dyDescent="0.3">
      <c r="B22" s="56">
        <v>15</v>
      </c>
      <c r="C22" s="174">
        <v>43</v>
      </c>
      <c r="D22" s="176">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x14ac:dyDescent="0.3">
      <c r="B23" s="56">
        <v>16</v>
      </c>
      <c r="C23" s="174">
        <v>35</v>
      </c>
      <c r="D23" s="176">
        <v>12</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v>39</v>
      </c>
      <c r="D24" s="176">
        <v>12</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3" s="40" customFormat="1" ht="18" customHeight="1" x14ac:dyDescent="0.3">
      <c r="B25" s="56">
        <v>18</v>
      </c>
      <c r="C25" s="174">
        <v>40</v>
      </c>
      <c r="D25" s="176">
        <v>16</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3" s="40" customFormat="1" ht="18" customHeight="1" x14ac:dyDescent="0.3">
      <c r="B26" s="56">
        <v>19</v>
      </c>
      <c r="C26" s="174">
        <v>40</v>
      </c>
      <c r="D26" s="176">
        <v>16</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3" s="40" customFormat="1" ht="18" customHeight="1" x14ac:dyDescent="0.3">
      <c r="B27" s="56">
        <v>20</v>
      </c>
      <c r="C27" s="174">
        <v>40</v>
      </c>
      <c r="D27" s="176">
        <v>16</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3" s="40" customFormat="1" ht="18" customHeight="1" x14ac:dyDescent="0.3">
      <c r="B28" s="56">
        <v>21</v>
      </c>
      <c r="C28" s="174">
        <v>40</v>
      </c>
      <c r="D28" s="176">
        <v>16</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3" s="40" customFormat="1" ht="18" customHeight="1" x14ac:dyDescent="0.3">
      <c r="B29" s="56">
        <v>22</v>
      </c>
      <c r="C29" s="174">
        <v>43</v>
      </c>
      <c r="D29" s="176">
        <v>16</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3" s="40" customFormat="1" ht="18" customHeight="1" x14ac:dyDescent="0.3">
      <c r="B30" s="56">
        <v>23</v>
      </c>
      <c r="C30" s="174">
        <v>35</v>
      </c>
      <c r="D30" s="176">
        <v>12</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3" s="40" customFormat="1" ht="18" customHeight="1" x14ac:dyDescent="0.3">
      <c r="B31" s="56">
        <v>24</v>
      </c>
      <c r="C31" s="174">
        <v>30</v>
      </c>
      <c r="D31" s="176">
        <v>12</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3" s="40" customFormat="1" ht="18" customHeight="1" x14ac:dyDescent="0.3">
      <c r="B32" s="56">
        <v>25</v>
      </c>
      <c r="C32" s="174">
        <v>31</v>
      </c>
      <c r="D32" s="176">
        <v>12</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v>40</v>
      </c>
      <c r="D33" s="176">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v>40</v>
      </c>
      <c r="D34" s="176">
        <v>16</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v>40</v>
      </c>
      <c r="D35" s="176">
        <v>16</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v>43</v>
      </c>
      <c r="D36" s="176">
        <v>16</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v>35</v>
      </c>
      <c r="D37" s="176">
        <v>12</v>
      </c>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thickBot="1" x14ac:dyDescent="0.35">
      <c r="B38" s="89">
        <v>31</v>
      </c>
      <c r="C38" s="170">
        <v>31</v>
      </c>
      <c r="D38" s="172">
        <v>12</v>
      </c>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Top="1" thickBot="1" x14ac:dyDescent="0.3">
      <c r="B39" s="92" t="s">
        <v>3</v>
      </c>
      <c r="C39" s="94">
        <f>SUM(C8:C38)</f>
        <v>1161</v>
      </c>
      <c r="D39" s="94">
        <f>SUM(D8:D38)</f>
        <v>438</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9">
    <mergeCell ref="B3:D3"/>
    <mergeCell ref="F3:AL4"/>
    <mergeCell ref="B4:D4"/>
    <mergeCell ref="B5:B7"/>
    <mergeCell ref="C5:D5"/>
    <mergeCell ref="F5:AL6"/>
    <mergeCell ref="C6:D6"/>
    <mergeCell ref="F7:F11"/>
    <mergeCell ref="H7:AL7"/>
  </mergeCells>
  <pageMargins left="0.75" right="0.75" top="1" bottom="1" header="0" footer="0"/>
  <pageSetup paperSize="9" scale="26" orientation="landscape" horizontalDpi="300" verticalDpi="300"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572A-810F-4074-B5C8-95026B083DBB}">
  <sheetPr codeName="Hoja18">
    <pageSetUpPr fitToPage="1"/>
  </sheetPr>
  <dimension ref="B1:AQ42"/>
  <sheetViews>
    <sheetView showGridLines="0" zoomScale="70" zoomScaleNormal="70" workbookViewId="0">
      <selection activeCell="H11" sqref="H11:AL11"/>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42"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97">
        <v>45292</v>
      </c>
      <c r="C4" s="398"/>
      <c r="D4" s="399"/>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400" t="s">
        <v>10</v>
      </c>
      <c r="C5" s="403" t="s">
        <v>7</v>
      </c>
      <c r="D5" s="404"/>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401"/>
      <c r="C6" s="408" t="s">
        <v>9</v>
      </c>
      <c r="D6" s="409"/>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407" t="s">
        <v>89</v>
      </c>
      <c r="C7" s="178" t="s">
        <v>7</v>
      </c>
      <c r="D7" s="179" t="s">
        <v>11</v>
      </c>
      <c r="F7" s="385">
        <f>B4</f>
        <v>45292</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x14ac:dyDescent="0.3">
      <c r="B8" s="95">
        <v>1</v>
      </c>
      <c r="C8" s="173">
        <v>31</v>
      </c>
      <c r="D8" s="177">
        <v>12</v>
      </c>
      <c r="E8" s="38"/>
      <c r="F8" s="386"/>
      <c r="G8" s="154"/>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v>38</v>
      </c>
      <c r="D9" s="176">
        <v>16</v>
      </c>
      <c r="E9" s="38"/>
      <c r="F9" s="386"/>
      <c r="G9" s="159" t="s">
        <v>7</v>
      </c>
      <c r="H9" s="163">
        <f t="array" ref="H9:AL9">TRANSPOSE(C8:C38)</f>
        <v>31</v>
      </c>
      <c r="I9" s="163">
        <v>38</v>
      </c>
      <c r="J9" s="163">
        <v>38</v>
      </c>
      <c r="K9" s="163">
        <v>38</v>
      </c>
      <c r="L9" s="163">
        <v>41</v>
      </c>
      <c r="M9" s="163">
        <v>35</v>
      </c>
      <c r="N9" s="163">
        <v>41</v>
      </c>
      <c r="O9" s="163">
        <v>38</v>
      </c>
      <c r="P9" s="163">
        <v>38</v>
      </c>
      <c r="Q9" s="163">
        <v>38</v>
      </c>
      <c r="R9" s="163">
        <v>40</v>
      </c>
      <c r="S9" s="163">
        <v>42</v>
      </c>
      <c r="T9" s="163">
        <v>34</v>
      </c>
      <c r="U9" s="163">
        <v>38</v>
      </c>
      <c r="V9" s="163">
        <v>37</v>
      </c>
      <c r="W9" s="163">
        <v>37</v>
      </c>
      <c r="X9" s="163">
        <v>38</v>
      </c>
      <c r="Y9" s="163">
        <v>40</v>
      </c>
      <c r="Z9" s="163">
        <v>43</v>
      </c>
      <c r="AA9" s="163">
        <v>35</v>
      </c>
      <c r="AB9" s="163">
        <v>39</v>
      </c>
      <c r="AC9" s="163">
        <v>38</v>
      </c>
      <c r="AD9" s="163">
        <v>38</v>
      </c>
      <c r="AE9" s="163">
        <v>38</v>
      </c>
      <c r="AF9" s="163">
        <v>40</v>
      </c>
      <c r="AG9" s="163">
        <v>43</v>
      </c>
      <c r="AH9" s="163">
        <v>35</v>
      </c>
      <c r="AI9" s="163">
        <v>40</v>
      </c>
      <c r="AJ9" s="163">
        <v>38</v>
      </c>
      <c r="AK9" s="163">
        <v>38</v>
      </c>
      <c r="AL9" s="164">
        <v>38</v>
      </c>
    </row>
    <row r="10" spans="2:43" s="40" customFormat="1" ht="18" customHeight="1" x14ac:dyDescent="0.3">
      <c r="B10" s="56">
        <v>3</v>
      </c>
      <c r="C10" s="174">
        <v>38</v>
      </c>
      <c r="D10" s="176">
        <v>16</v>
      </c>
      <c r="E10" s="38"/>
      <c r="F10" s="386"/>
      <c r="G10" s="159" t="s">
        <v>11</v>
      </c>
      <c r="H10" s="163">
        <f t="array" ref="H10:AL10">TRANSPOSE(D8:D38)</f>
        <v>12</v>
      </c>
      <c r="I10" s="163">
        <v>16</v>
      </c>
      <c r="J10" s="163">
        <v>16</v>
      </c>
      <c r="K10" s="163">
        <v>16</v>
      </c>
      <c r="L10" s="163">
        <v>16</v>
      </c>
      <c r="M10" s="163">
        <v>12</v>
      </c>
      <c r="N10" s="163">
        <v>12</v>
      </c>
      <c r="O10" s="163">
        <v>13</v>
      </c>
      <c r="P10" s="163">
        <v>13</v>
      </c>
      <c r="Q10" s="163">
        <v>16</v>
      </c>
      <c r="R10" s="163">
        <v>15</v>
      </c>
      <c r="S10" s="163">
        <v>16</v>
      </c>
      <c r="T10" s="163">
        <v>12</v>
      </c>
      <c r="U10" s="163">
        <v>12</v>
      </c>
      <c r="V10" s="163">
        <v>16</v>
      </c>
      <c r="W10" s="163">
        <v>16</v>
      </c>
      <c r="X10" s="163">
        <v>16</v>
      </c>
      <c r="Y10" s="163">
        <v>16</v>
      </c>
      <c r="Z10" s="163">
        <v>16</v>
      </c>
      <c r="AA10" s="163">
        <v>12</v>
      </c>
      <c r="AB10" s="163">
        <v>12</v>
      </c>
      <c r="AC10" s="163">
        <v>16</v>
      </c>
      <c r="AD10" s="163">
        <v>15</v>
      </c>
      <c r="AE10" s="163">
        <v>16</v>
      </c>
      <c r="AF10" s="163">
        <v>16</v>
      </c>
      <c r="AG10" s="163">
        <v>16</v>
      </c>
      <c r="AH10" s="163">
        <v>12</v>
      </c>
      <c r="AI10" s="163">
        <v>12</v>
      </c>
      <c r="AJ10" s="163">
        <v>16</v>
      </c>
      <c r="AK10" s="163">
        <v>16</v>
      </c>
      <c r="AL10" s="164">
        <v>16</v>
      </c>
    </row>
    <row r="11" spans="2:43" s="40" customFormat="1" ht="18" customHeight="1" thickBot="1" x14ac:dyDescent="0.35">
      <c r="B11" s="56">
        <v>4</v>
      </c>
      <c r="C11" s="174">
        <v>38</v>
      </c>
      <c r="D11" s="176">
        <v>16</v>
      </c>
      <c r="E11" s="38"/>
      <c r="F11" s="387"/>
      <c r="G11" s="160" t="s">
        <v>3</v>
      </c>
      <c r="H11" s="161">
        <f>H9+H10</f>
        <v>43</v>
      </c>
      <c r="I11" s="161">
        <f t="shared" ref="I11:AL11" si="0">I9+I10</f>
        <v>54</v>
      </c>
      <c r="J11" s="161">
        <f t="shared" si="0"/>
        <v>54</v>
      </c>
      <c r="K11" s="161">
        <f t="shared" si="0"/>
        <v>54</v>
      </c>
      <c r="L11" s="161">
        <f t="shared" si="0"/>
        <v>57</v>
      </c>
      <c r="M11" s="161">
        <f t="shared" si="0"/>
        <v>47</v>
      </c>
      <c r="N11" s="161">
        <f t="shared" si="0"/>
        <v>53</v>
      </c>
      <c r="O11" s="161">
        <f t="shared" si="0"/>
        <v>51</v>
      </c>
      <c r="P11" s="161">
        <f t="shared" si="0"/>
        <v>51</v>
      </c>
      <c r="Q11" s="161">
        <f t="shared" si="0"/>
        <v>54</v>
      </c>
      <c r="R11" s="161">
        <f t="shared" si="0"/>
        <v>55</v>
      </c>
      <c r="S11" s="161">
        <f t="shared" si="0"/>
        <v>58</v>
      </c>
      <c r="T11" s="161">
        <f t="shared" si="0"/>
        <v>46</v>
      </c>
      <c r="U11" s="161">
        <f t="shared" si="0"/>
        <v>50</v>
      </c>
      <c r="V11" s="161">
        <f t="shared" si="0"/>
        <v>53</v>
      </c>
      <c r="W11" s="161">
        <f t="shared" si="0"/>
        <v>53</v>
      </c>
      <c r="X11" s="161">
        <f t="shared" si="0"/>
        <v>54</v>
      </c>
      <c r="Y11" s="161">
        <f t="shared" si="0"/>
        <v>56</v>
      </c>
      <c r="Z11" s="161">
        <f t="shared" si="0"/>
        <v>59</v>
      </c>
      <c r="AA11" s="161">
        <f t="shared" si="0"/>
        <v>47</v>
      </c>
      <c r="AB11" s="161">
        <f t="shared" si="0"/>
        <v>51</v>
      </c>
      <c r="AC11" s="161">
        <f t="shared" si="0"/>
        <v>54</v>
      </c>
      <c r="AD11" s="161">
        <f t="shared" si="0"/>
        <v>53</v>
      </c>
      <c r="AE11" s="161">
        <f t="shared" si="0"/>
        <v>54</v>
      </c>
      <c r="AF11" s="161">
        <f t="shared" si="0"/>
        <v>56</v>
      </c>
      <c r="AG11" s="161">
        <f t="shared" si="0"/>
        <v>59</v>
      </c>
      <c r="AH11" s="161">
        <f t="shared" si="0"/>
        <v>47</v>
      </c>
      <c r="AI11" s="161">
        <f t="shared" si="0"/>
        <v>52</v>
      </c>
      <c r="AJ11" s="161">
        <f t="shared" si="0"/>
        <v>54</v>
      </c>
      <c r="AK11" s="161">
        <f t="shared" si="0"/>
        <v>54</v>
      </c>
      <c r="AL11" s="162">
        <f t="shared" si="0"/>
        <v>54</v>
      </c>
    </row>
    <row r="12" spans="2:43" s="40" customFormat="1" ht="18" customHeight="1" x14ac:dyDescent="0.3">
      <c r="B12" s="56">
        <v>5</v>
      </c>
      <c r="C12" s="174">
        <v>41</v>
      </c>
      <c r="D12" s="176">
        <v>16</v>
      </c>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x14ac:dyDescent="0.3">
      <c r="B13" s="56">
        <v>6</v>
      </c>
      <c r="C13" s="174">
        <v>35</v>
      </c>
      <c r="D13" s="176">
        <v>12</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v>41</v>
      </c>
      <c r="D14" s="176">
        <v>12</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8</v>
      </c>
      <c r="C15" s="174">
        <v>38</v>
      </c>
      <c r="D15" s="176">
        <v>13</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9</v>
      </c>
      <c r="C16" s="174">
        <v>38</v>
      </c>
      <c r="D16" s="176">
        <v>13</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18" customHeight="1" x14ac:dyDescent="0.3">
      <c r="B17" s="56">
        <v>10</v>
      </c>
      <c r="C17" s="174">
        <v>38</v>
      </c>
      <c r="D17" s="176">
        <v>16</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18" customHeight="1" x14ac:dyDescent="0.3">
      <c r="B18" s="56">
        <v>11</v>
      </c>
      <c r="C18" s="174">
        <v>40</v>
      </c>
      <c r="D18" s="176">
        <v>15</v>
      </c>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3" s="40" customFormat="1" ht="18" customHeight="1" x14ac:dyDescent="0.3">
      <c r="B19" s="56">
        <v>12</v>
      </c>
      <c r="C19" s="174">
        <v>42</v>
      </c>
      <c r="D19" s="176">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3" s="40" customFormat="1" ht="18" customHeight="1" x14ac:dyDescent="0.3">
      <c r="B20" s="56">
        <v>13</v>
      </c>
      <c r="C20" s="174">
        <v>34</v>
      </c>
      <c r="D20" s="176">
        <v>12</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3" s="40" customFormat="1" ht="18" customHeight="1" x14ac:dyDescent="0.3">
      <c r="B21" s="56">
        <v>14</v>
      </c>
      <c r="C21" s="174">
        <v>38</v>
      </c>
      <c r="D21" s="176">
        <v>12</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3" s="40" customFormat="1" ht="18" customHeight="1" x14ac:dyDescent="0.3">
      <c r="B22" s="56">
        <v>15</v>
      </c>
      <c r="C22" s="174">
        <v>37</v>
      </c>
      <c r="D22" s="176">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x14ac:dyDescent="0.3">
      <c r="B23" s="56">
        <v>16</v>
      </c>
      <c r="C23" s="174">
        <v>37</v>
      </c>
      <c r="D23" s="176">
        <v>16</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v>38</v>
      </c>
      <c r="D24" s="176">
        <v>16</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3" s="40" customFormat="1" ht="18" customHeight="1" x14ac:dyDescent="0.3">
      <c r="B25" s="56">
        <v>18</v>
      </c>
      <c r="C25" s="174">
        <v>40</v>
      </c>
      <c r="D25" s="176">
        <v>16</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3" s="40" customFormat="1" ht="18" customHeight="1" x14ac:dyDescent="0.3">
      <c r="B26" s="56">
        <v>19</v>
      </c>
      <c r="C26" s="174">
        <v>43</v>
      </c>
      <c r="D26" s="176">
        <v>16</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3" s="40" customFormat="1" ht="18" customHeight="1" x14ac:dyDescent="0.3">
      <c r="B27" s="56">
        <v>20</v>
      </c>
      <c r="C27" s="174">
        <v>35</v>
      </c>
      <c r="D27" s="176">
        <v>12</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3" s="40" customFormat="1" ht="18" customHeight="1" x14ac:dyDescent="0.3">
      <c r="B28" s="56">
        <v>21</v>
      </c>
      <c r="C28" s="174">
        <v>39</v>
      </c>
      <c r="D28" s="176">
        <v>12</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3" s="40" customFormat="1" ht="18" customHeight="1" x14ac:dyDescent="0.3">
      <c r="B29" s="56">
        <v>22</v>
      </c>
      <c r="C29" s="174">
        <v>38</v>
      </c>
      <c r="D29" s="176">
        <v>16</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3" s="40" customFormat="1" ht="18" customHeight="1" x14ac:dyDescent="0.3">
      <c r="B30" s="56">
        <v>23</v>
      </c>
      <c r="C30" s="174">
        <v>38</v>
      </c>
      <c r="D30" s="176">
        <v>15</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3" s="40" customFormat="1" ht="18" customHeight="1" x14ac:dyDescent="0.3">
      <c r="B31" s="56">
        <v>24</v>
      </c>
      <c r="C31" s="174">
        <v>38</v>
      </c>
      <c r="D31" s="176">
        <v>16</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3" s="40" customFormat="1" ht="18" customHeight="1" x14ac:dyDescent="0.3">
      <c r="B32" s="56">
        <v>25</v>
      </c>
      <c r="C32" s="174">
        <v>40</v>
      </c>
      <c r="D32" s="176">
        <v>16</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v>43</v>
      </c>
      <c r="D33" s="176">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v>35</v>
      </c>
      <c r="D34" s="176">
        <v>12</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v>40</v>
      </c>
      <c r="D35" s="176">
        <v>12</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v>38</v>
      </c>
      <c r="D36" s="176">
        <v>16</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v>38</v>
      </c>
      <c r="D37" s="176">
        <v>16</v>
      </c>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thickBot="1" x14ac:dyDescent="0.35">
      <c r="B38" s="89">
        <v>31</v>
      </c>
      <c r="C38" s="170">
        <v>38</v>
      </c>
      <c r="D38" s="172">
        <v>16</v>
      </c>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Top="1" thickBot="1" x14ac:dyDescent="0.3">
      <c r="B39" s="92" t="s">
        <v>3</v>
      </c>
      <c r="C39" s="94">
        <f>SUM(C8:C38)</f>
        <v>1185</v>
      </c>
      <c r="D39" s="94">
        <f>SUM(D8:D38)</f>
        <v>452</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9">
    <mergeCell ref="B3:D3"/>
    <mergeCell ref="F3:AL4"/>
    <mergeCell ref="B4:D4"/>
    <mergeCell ref="B5:B7"/>
    <mergeCell ref="C5:D5"/>
    <mergeCell ref="F5:AL6"/>
    <mergeCell ref="C6:D6"/>
    <mergeCell ref="F7:F11"/>
    <mergeCell ref="H7:AL7"/>
  </mergeCells>
  <pageMargins left="0.75" right="0.75" top="1" bottom="1" header="0" footer="0"/>
  <pageSetup paperSize="9" scale="26" orientation="landscape"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D0BBD-BA88-474B-A494-5459D1045E1E}">
  <sheetPr codeName="Hoja19">
    <pageSetUpPr fitToPage="1"/>
  </sheetPr>
  <dimension ref="B1:AQ42"/>
  <sheetViews>
    <sheetView showGridLines="0" topLeftCell="A3" zoomScale="70" zoomScaleNormal="70" workbookViewId="0">
      <selection activeCell="H11" sqref="H11:AJ11"/>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42"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97">
        <v>45323</v>
      </c>
      <c r="C4" s="398"/>
      <c r="D4" s="399"/>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400" t="s">
        <v>10</v>
      </c>
      <c r="C5" s="403" t="s">
        <v>7</v>
      </c>
      <c r="D5" s="404"/>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401"/>
      <c r="C6" s="408" t="s">
        <v>9</v>
      </c>
      <c r="D6" s="409"/>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407" t="s">
        <v>89</v>
      </c>
      <c r="C7" s="178" t="s">
        <v>7</v>
      </c>
      <c r="D7" s="179" t="s">
        <v>11</v>
      </c>
      <c r="F7" s="385">
        <f>B4</f>
        <v>45323</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x14ac:dyDescent="0.3">
      <c r="B8" s="95">
        <v>1</v>
      </c>
      <c r="C8" s="173">
        <v>41</v>
      </c>
      <c r="D8" s="177">
        <v>16</v>
      </c>
      <c r="E8" s="38"/>
      <c r="F8" s="386"/>
      <c r="G8" s="154"/>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v>43</v>
      </c>
      <c r="D9" s="176">
        <v>16</v>
      </c>
      <c r="E9" s="38"/>
      <c r="F9" s="386"/>
      <c r="G9" s="159" t="s">
        <v>7</v>
      </c>
      <c r="H9" s="163">
        <f t="array" ref="H9:AL9">TRANSPOSE(C8:C38)</f>
        <v>41</v>
      </c>
      <c r="I9" s="163">
        <v>43</v>
      </c>
      <c r="J9" s="163">
        <v>35</v>
      </c>
      <c r="K9" s="163">
        <v>40</v>
      </c>
      <c r="L9" s="163">
        <v>40</v>
      </c>
      <c r="M9" s="163">
        <v>40</v>
      </c>
      <c r="N9" s="163">
        <v>40</v>
      </c>
      <c r="O9" s="163">
        <v>40</v>
      </c>
      <c r="P9" s="163">
        <v>33</v>
      </c>
      <c r="Q9" s="163">
        <v>35</v>
      </c>
      <c r="R9" s="163">
        <v>39</v>
      </c>
      <c r="S9" s="163">
        <v>40</v>
      </c>
      <c r="T9" s="163">
        <v>41</v>
      </c>
      <c r="U9" s="163">
        <v>40</v>
      </c>
      <c r="V9" s="163">
        <v>40</v>
      </c>
      <c r="W9" s="163">
        <v>43</v>
      </c>
      <c r="X9" s="163">
        <v>35</v>
      </c>
      <c r="Y9" s="163">
        <v>39</v>
      </c>
      <c r="Z9" s="163">
        <v>40</v>
      </c>
      <c r="AA9" s="163">
        <v>40</v>
      </c>
      <c r="AB9" s="163">
        <v>40</v>
      </c>
      <c r="AC9" s="163">
        <v>40</v>
      </c>
      <c r="AD9" s="163">
        <v>43</v>
      </c>
      <c r="AE9" s="163">
        <v>35</v>
      </c>
      <c r="AF9" s="163">
        <v>39</v>
      </c>
      <c r="AG9" s="163">
        <v>40</v>
      </c>
      <c r="AH9" s="163">
        <v>41</v>
      </c>
      <c r="AI9" s="163">
        <v>40</v>
      </c>
      <c r="AJ9" s="163">
        <v>40</v>
      </c>
      <c r="AK9" s="163">
        <v>0</v>
      </c>
      <c r="AL9" s="164">
        <v>0</v>
      </c>
    </row>
    <row r="10" spans="2:43" s="40" customFormat="1" ht="18" customHeight="1" x14ac:dyDescent="0.3">
      <c r="B10" s="56">
        <v>3</v>
      </c>
      <c r="C10" s="174">
        <v>35</v>
      </c>
      <c r="D10" s="176">
        <v>12</v>
      </c>
      <c r="E10" s="38"/>
      <c r="F10" s="386"/>
      <c r="G10" s="159" t="s">
        <v>11</v>
      </c>
      <c r="H10" s="163">
        <f t="array" ref="H10:AL10">TRANSPOSE(D8:D38)</f>
        <v>16</v>
      </c>
      <c r="I10" s="163">
        <v>16</v>
      </c>
      <c r="J10" s="163">
        <v>12</v>
      </c>
      <c r="K10" s="163">
        <v>12</v>
      </c>
      <c r="L10" s="163">
        <v>16</v>
      </c>
      <c r="M10" s="163">
        <v>16</v>
      </c>
      <c r="N10" s="163">
        <v>16</v>
      </c>
      <c r="O10" s="163">
        <v>16</v>
      </c>
      <c r="P10" s="163">
        <v>10</v>
      </c>
      <c r="Q10" s="163">
        <v>12</v>
      </c>
      <c r="R10" s="163">
        <v>12</v>
      </c>
      <c r="S10" s="163">
        <v>16</v>
      </c>
      <c r="T10" s="163">
        <v>16</v>
      </c>
      <c r="U10" s="163">
        <v>16</v>
      </c>
      <c r="V10" s="163">
        <v>16</v>
      </c>
      <c r="W10" s="163">
        <v>16</v>
      </c>
      <c r="X10" s="163">
        <v>12</v>
      </c>
      <c r="Y10" s="163">
        <v>12</v>
      </c>
      <c r="Z10" s="163">
        <v>16</v>
      </c>
      <c r="AA10" s="163">
        <v>16</v>
      </c>
      <c r="AB10" s="163">
        <v>16</v>
      </c>
      <c r="AC10" s="163">
        <v>16</v>
      </c>
      <c r="AD10" s="163">
        <v>16</v>
      </c>
      <c r="AE10" s="163">
        <v>12</v>
      </c>
      <c r="AF10" s="163">
        <v>12</v>
      </c>
      <c r="AG10" s="163">
        <v>16</v>
      </c>
      <c r="AH10" s="163">
        <v>16</v>
      </c>
      <c r="AI10" s="163">
        <v>16</v>
      </c>
      <c r="AJ10" s="163">
        <v>16</v>
      </c>
      <c r="AK10" s="163">
        <v>0</v>
      </c>
      <c r="AL10" s="164">
        <v>0</v>
      </c>
    </row>
    <row r="11" spans="2:43" s="40" customFormat="1" ht="18" customHeight="1" thickBot="1" x14ac:dyDescent="0.35">
      <c r="B11" s="56">
        <v>4</v>
      </c>
      <c r="C11" s="174">
        <v>40</v>
      </c>
      <c r="D11" s="176">
        <v>12</v>
      </c>
      <c r="E11" s="38"/>
      <c r="F11" s="387"/>
      <c r="G11" s="160" t="s">
        <v>3</v>
      </c>
      <c r="H11" s="161">
        <f>H9+H10</f>
        <v>57</v>
      </c>
      <c r="I11" s="161">
        <f t="shared" ref="I11:AL11" si="0">I9+I10</f>
        <v>59</v>
      </c>
      <c r="J11" s="161">
        <f t="shared" si="0"/>
        <v>47</v>
      </c>
      <c r="K11" s="161">
        <f t="shared" si="0"/>
        <v>52</v>
      </c>
      <c r="L11" s="161">
        <f t="shared" si="0"/>
        <v>56</v>
      </c>
      <c r="M11" s="161">
        <f t="shared" si="0"/>
        <v>56</v>
      </c>
      <c r="N11" s="161">
        <f t="shared" si="0"/>
        <v>56</v>
      </c>
      <c r="O11" s="161">
        <f t="shared" si="0"/>
        <v>56</v>
      </c>
      <c r="P11" s="161">
        <f t="shared" si="0"/>
        <v>43</v>
      </c>
      <c r="Q11" s="161">
        <f t="shared" si="0"/>
        <v>47</v>
      </c>
      <c r="R11" s="161">
        <f t="shared" si="0"/>
        <v>51</v>
      </c>
      <c r="S11" s="161">
        <f t="shared" si="0"/>
        <v>56</v>
      </c>
      <c r="T11" s="161">
        <f t="shared" si="0"/>
        <v>57</v>
      </c>
      <c r="U11" s="161">
        <f t="shared" si="0"/>
        <v>56</v>
      </c>
      <c r="V11" s="161">
        <f t="shared" si="0"/>
        <v>56</v>
      </c>
      <c r="W11" s="161">
        <f t="shared" si="0"/>
        <v>59</v>
      </c>
      <c r="X11" s="161">
        <f t="shared" si="0"/>
        <v>47</v>
      </c>
      <c r="Y11" s="161">
        <f t="shared" si="0"/>
        <v>51</v>
      </c>
      <c r="Z11" s="161">
        <f t="shared" si="0"/>
        <v>56</v>
      </c>
      <c r="AA11" s="161">
        <f t="shared" si="0"/>
        <v>56</v>
      </c>
      <c r="AB11" s="161">
        <f t="shared" si="0"/>
        <v>56</v>
      </c>
      <c r="AC11" s="161">
        <f t="shared" si="0"/>
        <v>56</v>
      </c>
      <c r="AD11" s="161">
        <f t="shared" si="0"/>
        <v>59</v>
      </c>
      <c r="AE11" s="161">
        <f t="shared" si="0"/>
        <v>47</v>
      </c>
      <c r="AF11" s="161">
        <f t="shared" si="0"/>
        <v>51</v>
      </c>
      <c r="AG11" s="161">
        <f t="shared" si="0"/>
        <v>56</v>
      </c>
      <c r="AH11" s="161">
        <f t="shared" si="0"/>
        <v>57</v>
      </c>
      <c r="AI11" s="161">
        <f t="shared" si="0"/>
        <v>56</v>
      </c>
      <c r="AJ11" s="161">
        <f t="shared" si="0"/>
        <v>56</v>
      </c>
      <c r="AK11" s="161">
        <f t="shared" si="0"/>
        <v>0</v>
      </c>
      <c r="AL11" s="162">
        <f t="shared" si="0"/>
        <v>0</v>
      </c>
    </row>
    <row r="12" spans="2:43" s="40" customFormat="1" ht="18" customHeight="1" x14ac:dyDescent="0.3">
      <c r="B12" s="56">
        <v>5</v>
      </c>
      <c r="C12" s="174">
        <v>40</v>
      </c>
      <c r="D12" s="176">
        <v>16</v>
      </c>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x14ac:dyDescent="0.3">
      <c r="B13" s="56">
        <v>6</v>
      </c>
      <c r="C13" s="174">
        <v>40</v>
      </c>
      <c r="D13" s="176">
        <v>16</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v>40</v>
      </c>
      <c r="D14" s="176">
        <v>16</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8</v>
      </c>
      <c r="C15" s="174">
        <v>40</v>
      </c>
      <c r="D15" s="176">
        <v>16</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9</v>
      </c>
      <c r="C16" s="174">
        <v>33</v>
      </c>
      <c r="D16" s="176">
        <v>10</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18" customHeight="1" x14ac:dyDescent="0.3">
      <c r="B17" s="56">
        <v>10</v>
      </c>
      <c r="C17" s="174">
        <v>35</v>
      </c>
      <c r="D17" s="176">
        <v>12</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18" customHeight="1" x14ac:dyDescent="0.3">
      <c r="B18" s="56">
        <v>11</v>
      </c>
      <c r="C18" s="174">
        <v>39</v>
      </c>
      <c r="D18" s="176">
        <v>12</v>
      </c>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3" s="40" customFormat="1" ht="18" customHeight="1" x14ac:dyDescent="0.3">
      <c r="B19" s="56">
        <v>12</v>
      </c>
      <c r="C19" s="174">
        <v>40</v>
      </c>
      <c r="D19" s="176">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3" s="40" customFormat="1" ht="18" customHeight="1" x14ac:dyDescent="0.3">
      <c r="B20" s="56">
        <v>13</v>
      </c>
      <c r="C20" s="174">
        <v>41</v>
      </c>
      <c r="D20" s="176">
        <v>16</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3" s="40" customFormat="1" ht="18" customHeight="1" x14ac:dyDescent="0.3">
      <c r="B21" s="56">
        <v>14</v>
      </c>
      <c r="C21" s="174">
        <v>40</v>
      </c>
      <c r="D21" s="176">
        <v>16</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3" s="40" customFormat="1" ht="18" customHeight="1" x14ac:dyDescent="0.3">
      <c r="B22" s="56">
        <v>15</v>
      </c>
      <c r="C22" s="174">
        <v>40</v>
      </c>
      <c r="D22" s="176">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x14ac:dyDescent="0.3">
      <c r="B23" s="56">
        <v>16</v>
      </c>
      <c r="C23" s="174">
        <v>43</v>
      </c>
      <c r="D23" s="176">
        <v>16</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v>35</v>
      </c>
      <c r="D24" s="176">
        <v>12</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3" s="40" customFormat="1" ht="18" customHeight="1" x14ac:dyDescent="0.3">
      <c r="B25" s="56">
        <v>18</v>
      </c>
      <c r="C25" s="174">
        <v>39</v>
      </c>
      <c r="D25" s="176">
        <v>12</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3" s="40" customFormat="1" ht="18" customHeight="1" x14ac:dyDescent="0.3">
      <c r="B26" s="56">
        <v>19</v>
      </c>
      <c r="C26" s="174">
        <v>40</v>
      </c>
      <c r="D26" s="176">
        <v>16</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3" s="40" customFormat="1" ht="18" customHeight="1" x14ac:dyDescent="0.3">
      <c r="B27" s="56">
        <v>20</v>
      </c>
      <c r="C27" s="174">
        <v>40</v>
      </c>
      <c r="D27" s="176">
        <v>16</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3" s="40" customFormat="1" ht="18" customHeight="1" x14ac:dyDescent="0.3">
      <c r="B28" s="56">
        <v>21</v>
      </c>
      <c r="C28" s="174">
        <v>40</v>
      </c>
      <c r="D28" s="176">
        <v>16</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3" s="40" customFormat="1" ht="18" customHeight="1" x14ac:dyDescent="0.3">
      <c r="B29" s="56">
        <v>22</v>
      </c>
      <c r="C29" s="174">
        <v>40</v>
      </c>
      <c r="D29" s="176">
        <v>16</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3" s="40" customFormat="1" ht="18" customHeight="1" x14ac:dyDescent="0.3">
      <c r="B30" s="56">
        <v>23</v>
      </c>
      <c r="C30" s="174">
        <v>43</v>
      </c>
      <c r="D30" s="176">
        <v>16</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3" s="40" customFormat="1" ht="18" customHeight="1" x14ac:dyDescent="0.3">
      <c r="B31" s="56">
        <v>24</v>
      </c>
      <c r="C31" s="174">
        <v>35</v>
      </c>
      <c r="D31" s="176">
        <v>12</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3" s="40" customFormat="1" ht="18" customHeight="1" x14ac:dyDescent="0.3">
      <c r="B32" s="56">
        <v>25</v>
      </c>
      <c r="C32" s="174">
        <v>39</v>
      </c>
      <c r="D32" s="176">
        <v>12</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v>40</v>
      </c>
      <c r="D33" s="176">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v>41</v>
      </c>
      <c r="D34" s="176">
        <v>16</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v>40</v>
      </c>
      <c r="D35" s="176">
        <v>16</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v>40</v>
      </c>
      <c r="D36" s="176">
        <v>16</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c r="D37" s="176"/>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thickBot="1" x14ac:dyDescent="0.35">
      <c r="B38" s="89">
        <v>31</v>
      </c>
      <c r="C38" s="170"/>
      <c r="D38" s="172"/>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Top="1" thickBot="1" x14ac:dyDescent="0.3">
      <c r="B39" s="92" t="s">
        <v>3</v>
      </c>
      <c r="C39" s="94">
        <f>SUM(C8:C38)</f>
        <v>1142</v>
      </c>
      <c r="D39" s="94">
        <f>SUM(D8:D38)</f>
        <v>426</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9">
    <mergeCell ref="B3:D3"/>
    <mergeCell ref="F3:AL4"/>
    <mergeCell ref="B4:D4"/>
    <mergeCell ref="B5:B7"/>
    <mergeCell ref="C5:D5"/>
    <mergeCell ref="F5:AL6"/>
    <mergeCell ref="C6:D6"/>
    <mergeCell ref="F7:F11"/>
    <mergeCell ref="H7:AL7"/>
  </mergeCells>
  <pageMargins left="0.75" right="0.75" top="1" bottom="1" header="0" footer="0"/>
  <pageSetup paperSize="9" scale="26" orientation="landscape" horizontalDpi="300" verticalDpi="300"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639875-7136-4AFD-876A-D5AE4A07AC0C}">
  <sheetPr codeName="Hoja20">
    <pageSetUpPr fitToPage="1"/>
  </sheetPr>
  <dimension ref="B1:AQ42"/>
  <sheetViews>
    <sheetView showGridLines="0" zoomScale="70" zoomScaleNormal="70" workbookViewId="0">
      <selection activeCell="K35" sqref="K35"/>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42"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97">
        <v>45352</v>
      </c>
      <c r="C4" s="398"/>
      <c r="D4" s="399"/>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400" t="s">
        <v>10</v>
      </c>
      <c r="C5" s="403" t="s">
        <v>7</v>
      </c>
      <c r="D5" s="404"/>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401"/>
      <c r="C6" s="408" t="s">
        <v>9</v>
      </c>
      <c r="D6" s="409"/>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407" t="s">
        <v>89</v>
      </c>
      <c r="C7" s="178" t="s">
        <v>7</v>
      </c>
      <c r="D7" s="179" t="s">
        <v>11</v>
      </c>
      <c r="F7" s="385">
        <f>B4</f>
        <v>45352</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x14ac:dyDescent="0.3">
      <c r="B8" s="95">
        <v>1</v>
      </c>
      <c r="C8" s="173">
        <v>43</v>
      </c>
      <c r="D8" s="177">
        <v>16</v>
      </c>
      <c r="E8" s="38"/>
      <c r="F8" s="386"/>
      <c r="G8" s="154"/>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v>35</v>
      </c>
      <c r="D9" s="176">
        <v>12</v>
      </c>
      <c r="E9" s="38"/>
      <c r="F9" s="386"/>
      <c r="G9" s="159" t="s">
        <v>7</v>
      </c>
      <c r="H9" s="163">
        <f t="array" ref="H9:AL9">TRANSPOSE(C8:C38)</f>
        <v>43</v>
      </c>
      <c r="I9" s="163">
        <v>35</v>
      </c>
      <c r="J9" s="163">
        <v>39</v>
      </c>
      <c r="K9" s="163">
        <v>40</v>
      </c>
      <c r="L9" s="163">
        <v>42</v>
      </c>
      <c r="M9" s="163">
        <v>40</v>
      </c>
      <c r="N9" s="163">
        <v>40</v>
      </c>
      <c r="O9" s="163">
        <v>43</v>
      </c>
      <c r="P9" s="163">
        <v>35</v>
      </c>
      <c r="Q9" s="163">
        <v>39</v>
      </c>
      <c r="R9" s="163">
        <v>40</v>
      </c>
      <c r="S9" s="163">
        <v>40</v>
      </c>
      <c r="T9" s="163">
        <v>40</v>
      </c>
      <c r="U9" s="163">
        <v>40</v>
      </c>
      <c r="V9" s="163">
        <v>43</v>
      </c>
      <c r="W9" s="163">
        <v>33</v>
      </c>
      <c r="X9" s="163">
        <v>37</v>
      </c>
      <c r="Y9" s="163">
        <v>40</v>
      </c>
      <c r="Z9" s="163">
        <v>40</v>
      </c>
      <c r="AA9" s="163">
        <v>40</v>
      </c>
      <c r="AB9" s="163">
        <v>40</v>
      </c>
      <c r="AC9" s="163">
        <v>45</v>
      </c>
      <c r="AD9" s="163">
        <v>37</v>
      </c>
      <c r="AE9" s="163">
        <v>41</v>
      </c>
      <c r="AF9" s="163">
        <v>40</v>
      </c>
      <c r="AG9" s="163">
        <v>40</v>
      </c>
      <c r="AH9" s="163">
        <v>41</v>
      </c>
      <c r="AI9" s="163">
        <v>44</v>
      </c>
      <c r="AJ9" s="163">
        <v>40</v>
      </c>
      <c r="AK9" s="163">
        <v>37</v>
      </c>
      <c r="AL9" s="164">
        <v>41</v>
      </c>
    </row>
    <row r="10" spans="2:43" s="40" customFormat="1" ht="18" customHeight="1" x14ac:dyDescent="0.3">
      <c r="B10" s="56">
        <v>3</v>
      </c>
      <c r="C10" s="174">
        <v>39</v>
      </c>
      <c r="D10" s="176">
        <v>12</v>
      </c>
      <c r="E10" s="38"/>
      <c r="F10" s="386"/>
      <c r="G10" s="159" t="s">
        <v>11</v>
      </c>
      <c r="H10" s="163">
        <f t="array" ref="H10:AL10">TRANSPOSE(D8:D38)</f>
        <v>16</v>
      </c>
      <c r="I10" s="163">
        <v>12</v>
      </c>
      <c r="J10" s="163">
        <v>12</v>
      </c>
      <c r="K10" s="163">
        <v>16</v>
      </c>
      <c r="L10" s="163">
        <v>16</v>
      </c>
      <c r="M10" s="163">
        <v>16</v>
      </c>
      <c r="N10" s="163">
        <v>16</v>
      </c>
      <c r="O10" s="163">
        <v>16</v>
      </c>
      <c r="P10" s="163">
        <v>12</v>
      </c>
      <c r="Q10" s="163">
        <v>12</v>
      </c>
      <c r="R10" s="163">
        <v>16</v>
      </c>
      <c r="S10" s="163">
        <v>16</v>
      </c>
      <c r="T10" s="163">
        <v>16</v>
      </c>
      <c r="U10" s="163">
        <v>16</v>
      </c>
      <c r="V10" s="163">
        <v>16</v>
      </c>
      <c r="W10" s="163">
        <v>12</v>
      </c>
      <c r="X10" s="163">
        <v>12</v>
      </c>
      <c r="Y10" s="163">
        <v>16</v>
      </c>
      <c r="Z10" s="163">
        <v>12</v>
      </c>
      <c r="AA10" s="163">
        <v>16</v>
      </c>
      <c r="AB10" s="163">
        <v>16</v>
      </c>
      <c r="AC10" s="163">
        <v>16</v>
      </c>
      <c r="AD10" s="163">
        <v>12</v>
      </c>
      <c r="AE10" s="163">
        <v>12</v>
      </c>
      <c r="AF10" s="163">
        <v>16</v>
      </c>
      <c r="AG10" s="163">
        <v>16</v>
      </c>
      <c r="AH10" s="163">
        <v>16</v>
      </c>
      <c r="AI10" s="163">
        <v>16</v>
      </c>
      <c r="AJ10" s="163">
        <v>12</v>
      </c>
      <c r="AK10" s="163">
        <v>12</v>
      </c>
      <c r="AL10" s="164">
        <v>12</v>
      </c>
    </row>
    <row r="11" spans="2:43" s="40" customFormat="1" ht="18" customHeight="1" thickBot="1" x14ac:dyDescent="0.35">
      <c r="B11" s="56">
        <v>4</v>
      </c>
      <c r="C11" s="174">
        <v>40</v>
      </c>
      <c r="D11" s="176">
        <v>16</v>
      </c>
      <c r="E11" s="38"/>
      <c r="F11" s="387"/>
      <c r="G11" s="160" t="s">
        <v>3</v>
      </c>
      <c r="H11" s="161">
        <f>H9+H10</f>
        <v>59</v>
      </c>
      <c r="I11" s="161">
        <f t="shared" ref="I11:AL11" si="0">I9+I10</f>
        <v>47</v>
      </c>
      <c r="J11" s="161">
        <f t="shared" si="0"/>
        <v>51</v>
      </c>
      <c r="K11" s="161">
        <f t="shared" si="0"/>
        <v>56</v>
      </c>
      <c r="L11" s="161">
        <f t="shared" si="0"/>
        <v>58</v>
      </c>
      <c r="M11" s="161">
        <f t="shared" si="0"/>
        <v>56</v>
      </c>
      <c r="N11" s="161">
        <f t="shared" si="0"/>
        <v>56</v>
      </c>
      <c r="O11" s="161">
        <f t="shared" si="0"/>
        <v>59</v>
      </c>
      <c r="P11" s="161">
        <f t="shared" si="0"/>
        <v>47</v>
      </c>
      <c r="Q11" s="161">
        <f t="shared" si="0"/>
        <v>51</v>
      </c>
      <c r="R11" s="161">
        <f t="shared" si="0"/>
        <v>56</v>
      </c>
      <c r="S11" s="161">
        <f t="shared" si="0"/>
        <v>56</v>
      </c>
      <c r="T11" s="161">
        <f t="shared" si="0"/>
        <v>56</v>
      </c>
      <c r="U11" s="161">
        <f t="shared" si="0"/>
        <v>56</v>
      </c>
      <c r="V11" s="161">
        <f t="shared" si="0"/>
        <v>59</v>
      </c>
      <c r="W11" s="161">
        <f t="shared" si="0"/>
        <v>45</v>
      </c>
      <c r="X11" s="161">
        <f t="shared" si="0"/>
        <v>49</v>
      </c>
      <c r="Y11" s="161">
        <f t="shared" si="0"/>
        <v>56</v>
      </c>
      <c r="Z11" s="161">
        <f t="shared" si="0"/>
        <v>52</v>
      </c>
      <c r="AA11" s="161">
        <f t="shared" si="0"/>
        <v>56</v>
      </c>
      <c r="AB11" s="161">
        <f t="shared" si="0"/>
        <v>56</v>
      </c>
      <c r="AC11" s="161">
        <f t="shared" si="0"/>
        <v>61</v>
      </c>
      <c r="AD11" s="161">
        <f t="shared" si="0"/>
        <v>49</v>
      </c>
      <c r="AE11" s="161">
        <f t="shared" si="0"/>
        <v>53</v>
      </c>
      <c r="AF11" s="161">
        <f t="shared" si="0"/>
        <v>56</v>
      </c>
      <c r="AG11" s="161">
        <f t="shared" si="0"/>
        <v>56</v>
      </c>
      <c r="AH11" s="161">
        <f t="shared" si="0"/>
        <v>57</v>
      </c>
      <c r="AI11" s="161">
        <f t="shared" si="0"/>
        <v>60</v>
      </c>
      <c r="AJ11" s="161">
        <f t="shared" si="0"/>
        <v>52</v>
      </c>
      <c r="AK11" s="161">
        <f t="shared" si="0"/>
        <v>49</v>
      </c>
      <c r="AL11" s="162">
        <f t="shared" si="0"/>
        <v>53</v>
      </c>
    </row>
    <row r="12" spans="2:43" s="40" customFormat="1" ht="18" customHeight="1" x14ac:dyDescent="0.3">
      <c r="B12" s="56">
        <v>5</v>
      </c>
      <c r="C12" s="174">
        <v>42</v>
      </c>
      <c r="D12" s="176">
        <v>16</v>
      </c>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x14ac:dyDescent="0.3">
      <c r="B13" s="56">
        <v>6</v>
      </c>
      <c r="C13" s="174">
        <v>40</v>
      </c>
      <c r="D13" s="176">
        <v>16</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v>40</v>
      </c>
      <c r="D14" s="176">
        <v>16</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8</v>
      </c>
      <c r="C15" s="174">
        <v>43</v>
      </c>
      <c r="D15" s="176">
        <v>16</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9</v>
      </c>
      <c r="C16" s="174">
        <v>35</v>
      </c>
      <c r="D16" s="176">
        <v>12</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18" customHeight="1" x14ac:dyDescent="0.3">
      <c r="B17" s="56">
        <v>10</v>
      </c>
      <c r="C17" s="174">
        <v>39</v>
      </c>
      <c r="D17" s="176">
        <v>12</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18" customHeight="1" x14ac:dyDescent="0.3">
      <c r="B18" s="56">
        <v>11</v>
      </c>
      <c r="C18" s="174">
        <v>40</v>
      </c>
      <c r="D18" s="176">
        <v>16</v>
      </c>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3" s="40" customFormat="1" ht="18" customHeight="1" x14ac:dyDescent="0.3">
      <c r="B19" s="56">
        <v>12</v>
      </c>
      <c r="C19" s="174">
        <v>40</v>
      </c>
      <c r="D19" s="176">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3" s="40" customFormat="1" ht="18" customHeight="1" x14ac:dyDescent="0.3">
      <c r="B20" s="56">
        <v>13</v>
      </c>
      <c r="C20" s="174">
        <v>40</v>
      </c>
      <c r="D20" s="176">
        <v>16</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3" s="40" customFormat="1" ht="18" customHeight="1" x14ac:dyDescent="0.3">
      <c r="B21" s="56">
        <v>14</v>
      </c>
      <c r="C21" s="174">
        <v>40</v>
      </c>
      <c r="D21" s="176">
        <v>16</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3" s="40" customFormat="1" ht="18" customHeight="1" x14ac:dyDescent="0.3">
      <c r="B22" s="56">
        <v>15</v>
      </c>
      <c r="C22" s="174">
        <v>43</v>
      </c>
      <c r="D22" s="176">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x14ac:dyDescent="0.3">
      <c r="B23" s="56">
        <v>16</v>
      </c>
      <c r="C23" s="174">
        <v>33</v>
      </c>
      <c r="D23" s="176">
        <v>12</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v>37</v>
      </c>
      <c r="D24" s="176">
        <v>12</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3" s="40" customFormat="1" ht="18" customHeight="1" x14ac:dyDescent="0.3">
      <c r="B25" s="56">
        <v>18</v>
      </c>
      <c r="C25" s="174">
        <v>40</v>
      </c>
      <c r="D25" s="176">
        <v>16</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3" s="40" customFormat="1" ht="18" customHeight="1" x14ac:dyDescent="0.3">
      <c r="B26" s="56">
        <v>19</v>
      </c>
      <c r="C26" s="174">
        <v>40</v>
      </c>
      <c r="D26" s="176">
        <v>12</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3" s="40" customFormat="1" ht="18" customHeight="1" x14ac:dyDescent="0.3">
      <c r="B27" s="56">
        <v>20</v>
      </c>
      <c r="C27" s="174">
        <v>40</v>
      </c>
      <c r="D27" s="176">
        <v>16</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3" s="40" customFormat="1" ht="18" customHeight="1" x14ac:dyDescent="0.3">
      <c r="B28" s="56">
        <v>21</v>
      </c>
      <c r="C28" s="174">
        <v>40</v>
      </c>
      <c r="D28" s="176">
        <v>16</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3" s="40" customFormat="1" ht="18" customHeight="1" x14ac:dyDescent="0.3">
      <c r="B29" s="56">
        <v>22</v>
      </c>
      <c r="C29" s="174">
        <v>45</v>
      </c>
      <c r="D29" s="176">
        <v>16</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3" s="40" customFormat="1" ht="18" customHeight="1" x14ac:dyDescent="0.3">
      <c r="B30" s="56">
        <v>23</v>
      </c>
      <c r="C30" s="174">
        <v>37</v>
      </c>
      <c r="D30" s="176">
        <v>12</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3" s="40" customFormat="1" ht="18" customHeight="1" x14ac:dyDescent="0.3">
      <c r="B31" s="56">
        <v>24</v>
      </c>
      <c r="C31" s="174">
        <v>41</v>
      </c>
      <c r="D31" s="176">
        <v>12</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3" s="40" customFormat="1" ht="18" customHeight="1" x14ac:dyDescent="0.3">
      <c r="B32" s="56">
        <v>25</v>
      </c>
      <c r="C32" s="174">
        <v>40</v>
      </c>
      <c r="D32" s="176">
        <v>16</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v>40</v>
      </c>
      <c r="D33" s="176">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v>41</v>
      </c>
      <c r="D34" s="176">
        <v>16</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v>44</v>
      </c>
      <c r="D35" s="176">
        <v>16</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v>40</v>
      </c>
      <c r="D36" s="176">
        <v>12</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v>37</v>
      </c>
      <c r="D37" s="176">
        <v>12</v>
      </c>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thickBot="1" x14ac:dyDescent="0.35">
      <c r="B38" s="89">
        <v>31</v>
      </c>
      <c r="C38" s="180">
        <v>41</v>
      </c>
      <c r="D38" s="91">
        <v>12</v>
      </c>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Bot="1" x14ac:dyDescent="0.3">
      <c r="B39" s="92" t="s">
        <v>3</v>
      </c>
      <c r="C39" s="94">
        <f>SUM(C8:C38)</f>
        <v>1235</v>
      </c>
      <c r="D39" s="94">
        <f>SUM(D8:D38)</f>
        <v>448</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9">
    <mergeCell ref="B3:D3"/>
    <mergeCell ref="F3:AL4"/>
    <mergeCell ref="B4:D4"/>
    <mergeCell ref="B5:B7"/>
    <mergeCell ref="C5:D5"/>
    <mergeCell ref="F5:AL6"/>
    <mergeCell ref="C6:D6"/>
    <mergeCell ref="F7:F11"/>
    <mergeCell ref="H7:AL7"/>
  </mergeCells>
  <pageMargins left="0.75" right="0.75" top="1" bottom="1" header="0" footer="0"/>
  <pageSetup paperSize="9" scale="26" orientation="landscape"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3B6D1-1F68-4FE0-85A0-0D3CD15588D9}">
  <sheetPr codeName="Hoja21">
    <pageSetUpPr fitToPage="1"/>
  </sheetPr>
  <dimension ref="B1:AQ42"/>
  <sheetViews>
    <sheetView showGridLines="0" topLeftCell="E1" zoomScale="70" zoomScaleNormal="70" workbookViewId="0">
      <selection activeCell="H11" sqref="H11:AK11"/>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30.6"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97">
        <v>45383</v>
      </c>
      <c r="C4" s="398"/>
      <c r="D4" s="399"/>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400" t="s">
        <v>10</v>
      </c>
      <c r="C5" s="403" t="s">
        <v>7</v>
      </c>
      <c r="D5" s="404"/>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401"/>
      <c r="C6" s="408" t="s">
        <v>9</v>
      </c>
      <c r="D6" s="409"/>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407" t="s">
        <v>89</v>
      </c>
      <c r="C7" s="178" t="s">
        <v>7</v>
      </c>
      <c r="D7" s="179" t="s">
        <v>11</v>
      </c>
      <c r="F7" s="385">
        <f>B4</f>
        <v>45383</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x14ac:dyDescent="0.3">
      <c r="B8" s="95">
        <v>1</v>
      </c>
      <c r="C8" s="173">
        <v>40</v>
      </c>
      <c r="D8" s="177">
        <v>16</v>
      </c>
      <c r="E8" s="38"/>
      <c r="F8" s="386"/>
      <c r="G8" s="154"/>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v>40</v>
      </c>
      <c r="D9" s="176">
        <v>16</v>
      </c>
      <c r="E9" s="38"/>
      <c r="F9" s="386"/>
      <c r="G9" s="159" t="s">
        <v>7</v>
      </c>
      <c r="H9" s="163">
        <f t="array" ref="H9:AL9">TRANSPOSE(C8:C38)</f>
        <v>40</v>
      </c>
      <c r="I9" s="163">
        <v>40</v>
      </c>
      <c r="J9" s="163">
        <v>40</v>
      </c>
      <c r="K9" s="163">
        <v>40</v>
      </c>
      <c r="L9" s="163">
        <v>41</v>
      </c>
      <c r="M9" s="163">
        <v>35</v>
      </c>
      <c r="N9" s="163">
        <v>39</v>
      </c>
      <c r="O9" s="163">
        <v>33</v>
      </c>
      <c r="P9" s="163">
        <v>33</v>
      </c>
      <c r="Q9" s="163">
        <v>34</v>
      </c>
      <c r="R9" s="163">
        <v>33</v>
      </c>
      <c r="S9" s="163">
        <v>35</v>
      </c>
      <c r="T9" s="163">
        <v>32</v>
      </c>
      <c r="U9" s="163">
        <v>33</v>
      </c>
      <c r="V9" s="163">
        <v>33</v>
      </c>
      <c r="W9" s="163">
        <v>33</v>
      </c>
      <c r="X9" s="163">
        <v>33</v>
      </c>
      <c r="Y9" s="163">
        <v>36</v>
      </c>
      <c r="Z9" s="163">
        <v>39</v>
      </c>
      <c r="AA9" s="163">
        <v>35</v>
      </c>
      <c r="AB9" s="163">
        <v>36</v>
      </c>
      <c r="AC9" s="163">
        <v>37</v>
      </c>
      <c r="AD9" s="163">
        <v>37</v>
      </c>
      <c r="AE9" s="163">
        <v>38</v>
      </c>
      <c r="AF9" s="163">
        <v>38</v>
      </c>
      <c r="AG9" s="163">
        <v>39</v>
      </c>
      <c r="AH9" s="163">
        <v>34</v>
      </c>
      <c r="AI9" s="163">
        <v>35</v>
      </c>
      <c r="AJ9" s="163">
        <v>37</v>
      </c>
      <c r="AK9" s="163">
        <v>37</v>
      </c>
      <c r="AL9" s="164">
        <v>0</v>
      </c>
    </row>
    <row r="10" spans="2:43" s="40" customFormat="1" ht="18" customHeight="1" x14ac:dyDescent="0.3">
      <c r="B10" s="56">
        <v>3</v>
      </c>
      <c r="C10" s="174">
        <v>40</v>
      </c>
      <c r="D10" s="176">
        <v>16</v>
      </c>
      <c r="E10" s="38"/>
      <c r="F10" s="386"/>
      <c r="G10" s="159" t="s">
        <v>11</v>
      </c>
      <c r="H10" s="163">
        <f t="array" ref="H10:AL10">TRANSPOSE(D8:D38)</f>
        <v>16</v>
      </c>
      <c r="I10" s="163">
        <v>16</v>
      </c>
      <c r="J10" s="163">
        <v>16</v>
      </c>
      <c r="K10" s="163">
        <v>16</v>
      </c>
      <c r="L10" s="163">
        <v>16</v>
      </c>
      <c r="M10" s="163">
        <v>12</v>
      </c>
      <c r="N10" s="163">
        <v>12</v>
      </c>
      <c r="O10" s="163">
        <v>16</v>
      </c>
      <c r="P10" s="163">
        <v>16</v>
      </c>
      <c r="Q10" s="163">
        <v>16</v>
      </c>
      <c r="R10" s="163">
        <v>16</v>
      </c>
      <c r="S10" s="163">
        <v>16</v>
      </c>
      <c r="T10" s="163">
        <v>16</v>
      </c>
      <c r="U10" s="163">
        <v>16</v>
      </c>
      <c r="V10" s="163">
        <v>16</v>
      </c>
      <c r="W10" s="163">
        <v>16</v>
      </c>
      <c r="X10" s="163">
        <v>16</v>
      </c>
      <c r="Y10" s="163">
        <v>16</v>
      </c>
      <c r="Z10" s="163">
        <v>16</v>
      </c>
      <c r="AA10" s="163">
        <v>12</v>
      </c>
      <c r="AB10" s="163">
        <v>12</v>
      </c>
      <c r="AC10" s="163">
        <v>16</v>
      </c>
      <c r="AD10" s="163">
        <v>16</v>
      </c>
      <c r="AE10" s="163">
        <v>16</v>
      </c>
      <c r="AF10" s="163">
        <v>16</v>
      </c>
      <c r="AG10" s="163">
        <v>16</v>
      </c>
      <c r="AH10" s="163">
        <v>12</v>
      </c>
      <c r="AI10" s="163">
        <v>12</v>
      </c>
      <c r="AJ10" s="163">
        <v>16</v>
      </c>
      <c r="AK10" s="163">
        <v>16</v>
      </c>
      <c r="AL10" s="164">
        <v>0</v>
      </c>
    </row>
    <row r="11" spans="2:43" s="40" customFormat="1" ht="18" customHeight="1" thickBot="1" x14ac:dyDescent="0.35">
      <c r="B11" s="56">
        <v>4</v>
      </c>
      <c r="C11" s="174">
        <v>40</v>
      </c>
      <c r="D11" s="176">
        <v>16</v>
      </c>
      <c r="E11" s="38"/>
      <c r="F11" s="387"/>
      <c r="G11" s="160" t="s">
        <v>3</v>
      </c>
      <c r="H11" s="161">
        <f>H9+H10</f>
        <v>56</v>
      </c>
      <c r="I11" s="161">
        <f t="shared" ref="I11:AL11" si="0">I9+I10</f>
        <v>56</v>
      </c>
      <c r="J11" s="161">
        <f t="shared" si="0"/>
        <v>56</v>
      </c>
      <c r="K11" s="161">
        <f t="shared" si="0"/>
        <v>56</v>
      </c>
      <c r="L11" s="161">
        <f t="shared" si="0"/>
        <v>57</v>
      </c>
      <c r="M11" s="161">
        <f t="shared" si="0"/>
        <v>47</v>
      </c>
      <c r="N11" s="161">
        <f t="shared" si="0"/>
        <v>51</v>
      </c>
      <c r="O11" s="161">
        <f t="shared" si="0"/>
        <v>49</v>
      </c>
      <c r="P11" s="161">
        <f t="shared" si="0"/>
        <v>49</v>
      </c>
      <c r="Q11" s="161">
        <f t="shared" si="0"/>
        <v>50</v>
      </c>
      <c r="R11" s="161">
        <f t="shared" si="0"/>
        <v>49</v>
      </c>
      <c r="S11" s="161">
        <f t="shared" si="0"/>
        <v>51</v>
      </c>
      <c r="T11" s="161">
        <f t="shared" si="0"/>
        <v>48</v>
      </c>
      <c r="U11" s="161">
        <f t="shared" si="0"/>
        <v>49</v>
      </c>
      <c r="V11" s="161">
        <f t="shared" si="0"/>
        <v>49</v>
      </c>
      <c r="W11" s="161">
        <f t="shared" si="0"/>
        <v>49</v>
      </c>
      <c r="X11" s="161">
        <f t="shared" si="0"/>
        <v>49</v>
      </c>
      <c r="Y11" s="161">
        <f t="shared" si="0"/>
        <v>52</v>
      </c>
      <c r="Z11" s="161">
        <f t="shared" si="0"/>
        <v>55</v>
      </c>
      <c r="AA11" s="161">
        <f t="shared" si="0"/>
        <v>47</v>
      </c>
      <c r="AB11" s="161">
        <f t="shared" si="0"/>
        <v>48</v>
      </c>
      <c r="AC11" s="161">
        <f t="shared" si="0"/>
        <v>53</v>
      </c>
      <c r="AD11" s="161">
        <f t="shared" si="0"/>
        <v>53</v>
      </c>
      <c r="AE11" s="161">
        <f t="shared" si="0"/>
        <v>54</v>
      </c>
      <c r="AF11" s="161">
        <f t="shared" si="0"/>
        <v>54</v>
      </c>
      <c r="AG11" s="161">
        <f t="shared" si="0"/>
        <v>55</v>
      </c>
      <c r="AH11" s="161">
        <f t="shared" si="0"/>
        <v>46</v>
      </c>
      <c r="AI11" s="161">
        <f t="shared" si="0"/>
        <v>47</v>
      </c>
      <c r="AJ11" s="161">
        <f t="shared" si="0"/>
        <v>53</v>
      </c>
      <c r="AK11" s="161">
        <f t="shared" si="0"/>
        <v>53</v>
      </c>
      <c r="AL11" s="162">
        <f t="shared" si="0"/>
        <v>0</v>
      </c>
    </row>
    <row r="12" spans="2:43" s="40" customFormat="1" ht="18" customHeight="1" x14ac:dyDescent="0.3">
      <c r="B12" s="56">
        <v>5</v>
      </c>
      <c r="C12" s="174">
        <v>41</v>
      </c>
      <c r="D12" s="176">
        <v>16</v>
      </c>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x14ac:dyDescent="0.3">
      <c r="B13" s="56">
        <v>6</v>
      </c>
      <c r="C13" s="174">
        <v>35</v>
      </c>
      <c r="D13" s="176">
        <v>12</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v>39</v>
      </c>
      <c r="D14" s="176">
        <v>12</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8</v>
      </c>
      <c r="C15" s="174">
        <v>33</v>
      </c>
      <c r="D15" s="176">
        <v>16</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9</v>
      </c>
      <c r="C16" s="174">
        <v>33</v>
      </c>
      <c r="D16" s="176">
        <v>16</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18" customHeight="1" x14ac:dyDescent="0.3">
      <c r="B17" s="56">
        <v>10</v>
      </c>
      <c r="C17" s="174">
        <v>34</v>
      </c>
      <c r="D17" s="176">
        <v>16</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18" customHeight="1" x14ac:dyDescent="0.3">
      <c r="B18" s="56">
        <v>11</v>
      </c>
      <c r="C18" s="174">
        <v>33</v>
      </c>
      <c r="D18" s="176">
        <v>16</v>
      </c>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3" s="40" customFormat="1" ht="18" customHeight="1" x14ac:dyDescent="0.3">
      <c r="B19" s="56">
        <v>12</v>
      </c>
      <c r="C19" s="174">
        <v>35</v>
      </c>
      <c r="D19" s="176">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3" s="40" customFormat="1" ht="18" customHeight="1" x14ac:dyDescent="0.3">
      <c r="B20" s="56">
        <v>13</v>
      </c>
      <c r="C20" s="174">
        <v>32</v>
      </c>
      <c r="D20" s="176">
        <v>16</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3" s="40" customFormat="1" ht="18" customHeight="1" x14ac:dyDescent="0.3">
      <c r="B21" s="56">
        <v>14</v>
      </c>
      <c r="C21" s="174">
        <v>33</v>
      </c>
      <c r="D21" s="176">
        <v>16</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3" s="40" customFormat="1" ht="18" customHeight="1" x14ac:dyDescent="0.3">
      <c r="B22" s="56">
        <v>15</v>
      </c>
      <c r="C22" s="174">
        <v>33</v>
      </c>
      <c r="D22" s="176">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x14ac:dyDescent="0.3">
      <c r="B23" s="56">
        <v>16</v>
      </c>
      <c r="C23" s="174">
        <v>33</v>
      </c>
      <c r="D23" s="176">
        <v>16</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v>33</v>
      </c>
      <c r="D24" s="176">
        <v>16</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3" s="40" customFormat="1" ht="18" customHeight="1" x14ac:dyDescent="0.3">
      <c r="B25" s="56">
        <v>18</v>
      </c>
      <c r="C25" s="174">
        <v>36</v>
      </c>
      <c r="D25" s="176">
        <v>16</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3" s="40" customFormat="1" ht="18" customHeight="1" x14ac:dyDescent="0.3">
      <c r="B26" s="56">
        <v>19</v>
      </c>
      <c r="C26" s="174">
        <v>39</v>
      </c>
      <c r="D26" s="176">
        <v>16</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3" s="40" customFormat="1" ht="18" customHeight="1" x14ac:dyDescent="0.3">
      <c r="B27" s="56">
        <v>20</v>
      </c>
      <c r="C27" s="174">
        <v>35</v>
      </c>
      <c r="D27" s="176">
        <v>12</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3" s="40" customFormat="1" ht="18" customHeight="1" x14ac:dyDescent="0.3">
      <c r="B28" s="56">
        <v>21</v>
      </c>
      <c r="C28" s="174">
        <v>36</v>
      </c>
      <c r="D28" s="176">
        <v>12</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3" s="40" customFormat="1" ht="18" customHeight="1" x14ac:dyDescent="0.3">
      <c r="B29" s="56">
        <v>22</v>
      </c>
      <c r="C29" s="174">
        <v>37</v>
      </c>
      <c r="D29" s="176">
        <v>16</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3" s="40" customFormat="1" ht="18" customHeight="1" x14ac:dyDescent="0.3">
      <c r="B30" s="56">
        <v>23</v>
      </c>
      <c r="C30" s="174">
        <v>37</v>
      </c>
      <c r="D30" s="176">
        <v>16</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3" s="40" customFormat="1" ht="18" customHeight="1" x14ac:dyDescent="0.3">
      <c r="B31" s="56">
        <v>24</v>
      </c>
      <c r="C31" s="174">
        <v>38</v>
      </c>
      <c r="D31" s="176">
        <v>16</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3" s="40" customFormat="1" ht="18" customHeight="1" x14ac:dyDescent="0.3">
      <c r="B32" s="56">
        <v>25</v>
      </c>
      <c r="C32" s="174">
        <v>38</v>
      </c>
      <c r="D32" s="176">
        <v>16</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v>39</v>
      </c>
      <c r="D33" s="176">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v>34</v>
      </c>
      <c r="D34" s="176">
        <v>12</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v>35</v>
      </c>
      <c r="D35" s="176">
        <v>12</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v>37</v>
      </c>
      <c r="D36" s="176">
        <v>16</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v>37</v>
      </c>
      <c r="D37" s="176">
        <v>16</v>
      </c>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thickBot="1" x14ac:dyDescent="0.35">
      <c r="B38" s="89">
        <v>31</v>
      </c>
      <c r="C38" s="180"/>
      <c r="D38" s="91"/>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Bot="1" x14ac:dyDescent="0.3">
      <c r="B39" s="92" t="s">
        <v>3</v>
      </c>
      <c r="C39" s="94">
        <f>SUM(C8:C38)</f>
        <v>1085</v>
      </c>
      <c r="D39" s="94">
        <f>SUM(D8:D38)</f>
        <v>456</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9">
    <mergeCell ref="B3:D3"/>
    <mergeCell ref="F3:AL4"/>
    <mergeCell ref="B4:D4"/>
    <mergeCell ref="B5:B7"/>
    <mergeCell ref="C5:D5"/>
    <mergeCell ref="F5:AL6"/>
    <mergeCell ref="C6:D6"/>
    <mergeCell ref="F7:F11"/>
    <mergeCell ref="H7:AL7"/>
  </mergeCells>
  <pageMargins left="0.75" right="0.75" top="1" bottom="1" header="0" footer="0"/>
  <pageSetup paperSize="9" scale="26" orientation="landscape"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05310-A686-4F56-99B2-B2495758A91B}">
  <sheetPr codeName="Hoja23">
    <pageSetUpPr fitToPage="1"/>
  </sheetPr>
  <dimension ref="B1:AQ42"/>
  <sheetViews>
    <sheetView showGridLines="0" topLeftCell="D1" zoomScale="70" zoomScaleNormal="70" workbookViewId="0">
      <selection activeCell="R24" sqref="R24"/>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30.6"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97">
        <v>45444</v>
      </c>
      <c r="C4" s="398"/>
      <c r="D4" s="399"/>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400" t="s">
        <v>10</v>
      </c>
      <c r="C5" s="403" t="s">
        <v>7</v>
      </c>
      <c r="D5" s="404"/>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401"/>
      <c r="C6" s="408" t="s">
        <v>9</v>
      </c>
      <c r="D6" s="409"/>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407" t="s">
        <v>89</v>
      </c>
      <c r="C7" s="178" t="s">
        <v>7</v>
      </c>
      <c r="D7" s="179" t="s">
        <v>11</v>
      </c>
      <c r="F7" s="385">
        <f>B4</f>
        <v>45444</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thickTop="1" x14ac:dyDescent="0.3">
      <c r="B8" s="95">
        <v>1</v>
      </c>
      <c r="C8" s="173">
        <v>32</v>
      </c>
      <c r="D8" s="171">
        <v>12</v>
      </c>
      <c r="E8" s="38"/>
      <c r="F8" s="386"/>
      <c r="G8" s="154"/>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v>35</v>
      </c>
      <c r="D9" s="57">
        <v>12</v>
      </c>
      <c r="E9" s="38"/>
      <c r="F9" s="386"/>
      <c r="G9" s="159" t="s">
        <v>7</v>
      </c>
      <c r="H9" s="163">
        <f t="array" ref="H9:AL9">TRANSPOSE(C8:C38)</f>
        <v>32</v>
      </c>
      <c r="I9" s="163">
        <v>35</v>
      </c>
      <c r="J9" s="163">
        <v>39</v>
      </c>
      <c r="K9" s="163">
        <v>39</v>
      </c>
      <c r="L9" s="163">
        <v>39</v>
      </c>
      <c r="M9" s="163">
        <v>39</v>
      </c>
      <c r="N9" s="163">
        <v>39</v>
      </c>
      <c r="O9" s="163">
        <v>34</v>
      </c>
      <c r="P9" s="163">
        <v>35</v>
      </c>
      <c r="Q9" s="163">
        <v>39</v>
      </c>
      <c r="R9" s="163">
        <v>39</v>
      </c>
      <c r="S9" s="163">
        <v>39</v>
      </c>
      <c r="T9" s="163">
        <v>39</v>
      </c>
      <c r="U9" s="163">
        <v>39</v>
      </c>
      <c r="V9" s="163">
        <v>34</v>
      </c>
      <c r="W9" s="163">
        <v>36</v>
      </c>
      <c r="X9" s="163">
        <v>39</v>
      </c>
      <c r="Y9" s="163">
        <v>38</v>
      </c>
      <c r="Z9" s="163">
        <v>39</v>
      </c>
      <c r="AA9" s="163">
        <v>39</v>
      </c>
      <c r="AB9" s="163">
        <v>39</v>
      </c>
      <c r="AC9" s="163">
        <v>34</v>
      </c>
      <c r="AD9" s="163">
        <v>36</v>
      </c>
      <c r="AE9" s="163">
        <v>40</v>
      </c>
      <c r="AF9" s="163">
        <v>40</v>
      </c>
      <c r="AG9" s="163">
        <v>40</v>
      </c>
      <c r="AH9" s="163">
        <v>40</v>
      </c>
      <c r="AI9" s="163">
        <v>41</v>
      </c>
      <c r="AJ9" s="163">
        <v>34</v>
      </c>
      <c r="AK9" s="163">
        <v>38</v>
      </c>
      <c r="AL9" s="164">
        <v>0</v>
      </c>
    </row>
    <row r="10" spans="2:43" s="40" customFormat="1" ht="18" customHeight="1" x14ac:dyDescent="0.3">
      <c r="B10" s="56">
        <v>3</v>
      </c>
      <c r="C10" s="174">
        <v>39</v>
      </c>
      <c r="D10" s="57">
        <v>16</v>
      </c>
      <c r="E10" s="38"/>
      <c r="F10" s="386"/>
      <c r="G10" s="159" t="s">
        <v>11</v>
      </c>
      <c r="H10" s="163">
        <f t="array" ref="H10:AL10">TRANSPOSE(D8:D38)</f>
        <v>12</v>
      </c>
      <c r="I10" s="163">
        <v>12</v>
      </c>
      <c r="J10" s="163">
        <v>16</v>
      </c>
      <c r="K10" s="163">
        <v>16</v>
      </c>
      <c r="L10" s="163">
        <v>16</v>
      </c>
      <c r="M10" s="163">
        <v>16</v>
      </c>
      <c r="N10" s="163">
        <v>16</v>
      </c>
      <c r="O10" s="163">
        <v>12</v>
      </c>
      <c r="P10" s="163">
        <v>12</v>
      </c>
      <c r="Q10" s="163">
        <v>16</v>
      </c>
      <c r="R10" s="163">
        <v>16</v>
      </c>
      <c r="S10" s="163">
        <v>16</v>
      </c>
      <c r="T10" s="163">
        <v>16</v>
      </c>
      <c r="U10" s="163">
        <v>16</v>
      </c>
      <c r="V10" s="163">
        <v>12</v>
      </c>
      <c r="W10" s="163">
        <v>12</v>
      </c>
      <c r="X10" s="163">
        <v>16</v>
      </c>
      <c r="Y10" s="163">
        <v>16</v>
      </c>
      <c r="Z10" s="163">
        <v>16</v>
      </c>
      <c r="AA10" s="163">
        <v>16</v>
      </c>
      <c r="AB10" s="163">
        <v>16</v>
      </c>
      <c r="AC10" s="163">
        <v>12</v>
      </c>
      <c r="AD10" s="163">
        <v>12</v>
      </c>
      <c r="AE10" s="163">
        <v>16</v>
      </c>
      <c r="AF10" s="163">
        <v>16</v>
      </c>
      <c r="AG10" s="163">
        <v>16</v>
      </c>
      <c r="AH10" s="163">
        <v>16</v>
      </c>
      <c r="AI10" s="163">
        <v>16</v>
      </c>
      <c r="AJ10" s="163">
        <v>12</v>
      </c>
      <c r="AK10" s="163">
        <v>12</v>
      </c>
      <c r="AL10" s="164">
        <v>0</v>
      </c>
    </row>
    <row r="11" spans="2:43" s="40" customFormat="1" ht="18" customHeight="1" thickBot="1" x14ac:dyDescent="0.35">
      <c r="B11" s="56">
        <v>4</v>
      </c>
      <c r="C11" s="174">
        <v>39</v>
      </c>
      <c r="D11" s="57">
        <v>16</v>
      </c>
      <c r="E11" s="38"/>
      <c r="F11" s="387"/>
      <c r="G11" s="160" t="s">
        <v>3</v>
      </c>
      <c r="H11" s="161">
        <f>H9+H10</f>
        <v>44</v>
      </c>
      <c r="I11" s="161">
        <f t="shared" ref="I11:AL11" si="0">I9+I10</f>
        <v>47</v>
      </c>
      <c r="J11" s="161">
        <f t="shared" si="0"/>
        <v>55</v>
      </c>
      <c r="K11" s="161">
        <f t="shared" si="0"/>
        <v>55</v>
      </c>
      <c r="L11" s="161">
        <f t="shared" si="0"/>
        <v>55</v>
      </c>
      <c r="M11" s="161">
        <f t="shared" si="0"/>
        <v>55</v>
      </c>
      <c r="N11" s="161">
        <f t="shared" si="0"/>
        <v>55</v>
      </c>
      <c r="O11" s="161">
        <f t="shared" si="0"/>
        <v>46</v>
      </c>
      <c r="P11" s="161">
        <f t="shared" si="0"/>
        <v>47</v>
      </c>
      <c r="Q11" s="161">
        <f t="shared" si="0"/>
        <v>55</v>
      </c>
      <c r="R11" s="161">
        <f t="shared" si="0"/>
        <v>55</v>
      </c>
      <c r="S11" s="161">
        <f t="shared" si="0"/>
        <v>55</v>
      </c>
      <c r="T11" s="161">
        <f t="shared" si="0"/>
        <v>55</v>
      </c>
      <c r="U11" s="161">
        <f t="shared" si="0"/>
        <v>55</v>
      </c>
      <c r="V11" s="161">
        <f t="shared" si="0"/>
        <v>46</v>
      </c>
      <c r="W11" s="161">
        <f t="shared" si="0"/>
        <v>48</v>
      </c>
      <c r="X11" s="161">
        <f t="shared" si="0"/>
        <v>55</v>
      </c>
      <c r="Y11" s="161">
        <f t="shared" si="0"/>
        <v>54</v>
      </c>
      <c r="Z11" s="161">
        <f t="shared" si="0"/>
        <v>55</v>
      </c>
      <c r="AA11" s="161">
        <f t="shared" si="0"/>
        <v>55</v>
      </c>
      <c r="AB11" s="161">
        <f t="shared" si="0"/>
        <v>55</v>
      </c>
      <c r="AC11" s="161">
        <f t="shared" si="0"/>
        <v>46</v>
      </c>
      <c r="AD11" s="161">
        <f t="shared" si="0"/>
        <v>48</v>
      </c>
      <c r="AE11" s="161">
        <f t="shared" si="0"/>
        <v>56</v>
      </c>
      <c r="AF11" s="161">
        <f t="shared" si="0"/>
        <v>56</v>
      </c>
      <c r="AG11" s="161">
        <f t="shared" si="0"/>
        <v>56</v>
      </c>
      <c r="AH11" s="161">
        <f t="shared" si="0"/>
        <v>56</v>
      </c>
      <c r="AI11" s="161">
        <f t="shared" si="0"/>
        <v>57</v>
      </c>
      <c r="AJ11" s="161">
        <f t="shared" si="0"/>
        <v>46</v>
      </c>
      <c r="AK11" s="161">
        <f t="shared" si="0"/>
        <v>50</v>
      </c>
      <c r="AL11" s="162">
        <f t="shared" si="0"/>
        <v>0</v>
      </c>
    </row>
    <row r="12" spans="2:43" s="40" customFormat="1" ht="18" customHeight="1" x14ac:dyDescent="0.3">
      <c r="B12" s="56">
        <v>5</v>
      </c>
      <c r="C12" s="174">
        <v>39</v>
      </c>
      <c r="D12" s="57">
        <v>16</v>
      </c>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x14ac:dyDescent="0.3">
      <c r="B13" s="56">
        <v>6</v>
      </c>
      <c r="C13" s="174">
        <v>39</v>
      </c>
      <c r="D13" s="57">
        <v>16</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v>39</v>
      </c>
      <c r="D14" s="57">
        <v>16</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8</v>
      </c>
      <c r="C15" s="174">
        <v>34</v>
      </c>
      <c r="D15" s="57">
        <v>12</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9</v>
      </c>
      <c r="C16" s="174">
        <v>35</v>
      </c>
      <c r="D16" s="57">
        <v>12</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18" customHeight="1" x14ac:dyDescent="0.3">
      <c r="B17" s="56">
        <v>10</v>
      </c>
      <c r="C17" s="174">
        <v>39</v>
      </c>
      <c r="D17" s="57">
        <v>16</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18" customHeight="1" x14ac:dyDescent="0.3">
      <c r="B18" s="56">
        <v>11</v>
      </c>
      <c r="C18" s="174">
        <v>39</v>
      </c>
      <c r="D18" s="57">
        <v>16</v>
      </c>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3" s="40" customFormat="1" ht="18" customHeight="1" x14ac:dyDescent="0.3">
      <c r="B19" s="56">
        <v>12</v>
      </c>
      <c r="C19" s="174">
        <v>39</v>
      </c>
      <c r="D19" s="57">
        <v>16</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3" s="40" customFormat="1" ht="18" customHeight="1" x14ac:dyDescent="0.3">
      <c r="B20" s="56">
        <v>13</v>
      </c>
      <c r="C20" s="174">
        <v>39</v>
      </c>
      <c r="D20" s="57">
        <v>16</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3" s="40" customFormat="1" ht="18" customHeight="1" x14ac:dyDescent="0.3">
      <c r="B21" s="56">
        <v>14</v>
      </c>
      <c r="C21" s="174">
        <v>39</v>
      </c>
      <c r="D21" s="57">
        <v>16</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3" s="40" customFormat="1" ht="18" customHeight="1" x14ac:dyDescent="0.3">
      <c r="B22" s="56">
        <v>15</v>
      </c>
      <c r="C22" s="174">
        <v>34</v>
      </c>
      <c r="D22" s="57">
        <v>12</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x14ac:dyDescent="0.3">
      <c r="B23" s="56">
        <v>16</v>
      </c>
      <c r="C23" s="174">
        <v>36</v>
      </c>
      <c r="D23" s="57">
        <v>12</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v>39</v>
      </c>
      <c r="D24" s="57">
        <v>16</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3" s="40" customFormat="1" ht="18" customHeight="1" x14ac:dyDescent="0.3">
      <c r="B25" s="56">
        <v>18</v>
      </c>
      <c r="C25" s="174">
        <v>38</v>
      </c>
      <c r="D25" s="57">
        <v>16</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3" s="40" customFormat="1" ht="18" customHeight="1" x14ac:dyDescent="0.3">
      <c r="B26" s="56">
        <v>19</v>
      </c>
      <c r="C26" s="174">
        <v>39</v>
      </c>
      <c r="D26" s="57">
        <v>16</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3" s="40" customFormat="1" ht="18" customHeight="1" x14ac:dyDescent="0.3">
      <c r="B27" s="56">
        <v>20</v>
      </c>
      <c r="C27" s="174">
        <v>39</v>
      </c>
      <c r="D27" s="57">
        <v>16</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3" s="40" customFormat="1" ht="18" customHeight="1" x14ac:dyDescent="0.3">
      <c r="B28" s="56">
        <v>21</v>
      </c>
      <c r="C28" s="174">
        <v>39</v>
      </c>
      <c r="D28" s="57">
        <v>16</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3" s="40" customFormat="1" ht="18" customHeight="1" x14ac:dyDescent="0.3">
      <c r="B29" s="56">
        <v>22</v>
      </c>
      <c r="C29" s="174">
        <v>34</v>
      </c>
      <c r="D29" s="57">
        <v>12</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3" s="40" customFormat="1" ht="18" customHeight="1" x14ac:dyDescent="0.3">
      <c r="B30" s="56">
        <v>23</v>
      </c>
      <c r="C30" s="174">
        <v>36</v>
      </c>
      <c r="D30" s="57">
        <v>12</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3" s="40" customFormat="1" ht="18" customHeight="1" x14ac:dyDescent="0.3">
      <c r="B31" s="56">
        <v>24</v>
      </c>
      <c r="C31" s="174">
        <v>40</v>
      </c>
      <c r="D31" s="57">
        <v>16</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3" s="40" customFormat="1" ht="18" customHeight="1" x14ac:dyDescent="0.3">
      <c r="B32" s="56">
        <v>25</v>
      </c>
      <c r="C32" s="174">
        <v>40</v>
      </c>
      <c r="D32" s="57">
        <v>16</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v>40</v>
      </c>
      <c r="D33" s="57">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v>40</v>
      </c>
      <c r="D34" s="57">
        <v>16</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v>41</v>
      </c>
      <c r="D35" s="57">
        <v>16</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v>34</v>
      </c>
      <c r="D36" s="57">
        <v>12</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v>38</v>
      </c>
      <c r="D37" s="57">
        <v>12</v>
      </c>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thickBot="1" x14ac:dyDescent="0.35">
      <c r="B38" s="89">
        <v>31</v>
      </c>
      <c r="C38" s="180"/>
      <c r="D38" s="91"/>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Bot="1" x14ac:dyDescent="0.3">
      <c r="B39" s="92" t="s">
        <v>3</v>
      </c>
      <c r="C39" s="94">
        <f>SUM(C8:C38)</f>
        <v>1133</v>
      </c>
      <c r="D39" s="94">
        <f>SUM(D8:D38)</f>
        <v>440</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9">
    <mergeCell ref="B3:D3"/>
    <mergeCell ref="F3:AL4"/>
    <mergeCell ref="B4:D4"/>
    <mergeCell ref="B5:B7"/>
    <mergeCell ref="C5:D5"/>
    <mergeCell ref="F5:AL6"/>
    <mergeCell ref="C6:D6"/>
    <mergeCell ref="F7:F11"/>
    <mergeCell ref="H7:AL7"/>
  </mergeCells>
  <pageMargins left="0.75" right="0.75" top="1" bottom="1" header="0" footer="0"/>
  <pageSetup paperSize="9" scale="26" orientation="landscape"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4F8AE-BA97-4CA5-90FA-EB71C267763D}">
  <sheetPr codeName="Hoja24">
    <pageSetUpPr fitToPage="1"/>
  </sheetPr>
  <dimension ref="B1:AQ42"/>
  <sheetViews>
    <sheetView showGridLines="0" zoomScale="70" zoomScaleNormal="70" workbookViewId="0">
      <selection activeCell="R37" sqref="R37"/>
    </sheetView>
  </sheetViews>
  <sheetFormatPr baseColWidth="10" defaultColWidth="11.44140625" defaultRowHeight="13.2" x14ac:dyDescent="0.25"/>
  <cols>
    <col min="1" max="1" width="2.21875" style="38" customWidth="1"/>
    <col min="2" max="2" width="10.44140625" style="37" bestFit="1" customWidth="1"/>
    <col min="3" max="3" width="20.77734375" style="38" customWidth="1"/>
    <col min="4" max="4" width="25.55468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22.05"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09">
        <v>45474</v>
      </c>
      <c r="C4" s="310"/>
      <c r="D4" s="311"/>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400" t="s">
        <v>10</v>
      </c>
      <c r="C5" s="403" t="s">
        <v>7</v>
      </c>
      <c r="D5" s="404"/>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401"/>
      <c r="C6" s="408" t="s">
        <v>9</v>
      </c>
      <c r="D6" s="409"/>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407" t="s">
        <v>89</v>
      </c>
      <c r="C7" s="178" t="s">
        <v>7</v>
      </c>
      <c r="D7" s="179" t="s">
        <v>11</v>
      </c>
      <c r="F7" s="318">
        <f>B4</f>
        <v>45474</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x14ac:dyDescent="0.3">
      <c r="B8" s="95">
        <v>1</v>
      </c>
      <c r="C8" s="173">
        <v>40</v>
      </c>
      <c r="D8" s="52">
        <v>16</v>
      </c>
      <c r="E8" s="38"/>
      <c r="F8" s="319"/>
      <c r="G8" s="154"/>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v>40</v>
      </c>
      <c r="D9" s="57">
        <v>16</v>
      </c>
      <c r="E9" s="38"/>
      <c r="F9" s="319"/>
      <c r="G9" s="159" t="s">
        <v>7</v>
      </c>
      <c r="H9" s="163">
        <f t="array" ref="H9:AL9">TRANSPOSE(C8:C38)</f>
        <v>40</v>
      </c>
      <c r="I9" s="163">
        <v>40</v>
      </c>
      <c r="J9" s="163">
        <v>40</v>
      </c>
      <c r="K9" s="163">
        <v>40</v>
      </c>
      <c r="L9" s="163">
        <v>42</v>
      </c>
      <c r="M9" s="163">
        <v>34</v>
      </c>
      <c r="N9" s="163">
        <v>38</v>
      </c>
      <c r="O9" s="163">
        <v>40</v>
      </c>
      <c r="P9" s="163">
        <v>40</v>
      </c>
      <c r="Q9" s="163">
        <v>40</v>
      </c>
      <c r="R9" s="163">
        <v>40</v>
      </c>
      <c r="S9" s="163">
        <v>41</v>
      </c>
      <c r="T9" s="163">
        <v>34</v>
      </c>
      <c r="U9" s="163">
        <v>38</v>
      </c>
      <c r="V9" s="163">
        <v>40</v>
      </c>
      <c r="W9" s="163">
        <v>40</v>
      </c>
      <c r="X9" s="163">
        <v>41</v>
      </c>
      <c r="Y9" s="163">
        <v>40</v>
      </c>
      <c r="Z9" s="163">
        <v>41</v>
      </c>
      <c r="AA9" s="163">
        <v>34</v>
      </c>
      <c r="AB9" s="163">
        <v>38</v>
      </c>
      <c r="AC9" s="163">
        <v>40</v>
      </c>
      <c r="AD9" s="163">
        <v>42</v>
      </c>
      <c r="AE9" s="163">
        <v>42</v>
      </c>
      <c r="AF9" s="163">
        <v>42</v>
      </c>
      <c r="AG9" s="163">
        <v>43</v>
      </c>
      <c r="AH9" s="163">
        <v>35</v>
      </c>
      <c r="AI9" s="163">
        <v>40</v>
      </c>
      <c r="AJ9" s="163">
        <v>42</v>
      </c>
      <c r="AK9" s="163">
        <v>43</v>
      </c>
      <c r="AL9" s="164">
        <v>42</v>
      </c>
    </row>
    <row r="10" spans="2:43" s="40" customFormat="1" ht="18" customHeight="1" x14ac:dyDescent="0.3">
      <c r="B10" s="56">
        <v>3</v>
      </c>
      <c r="C10" s="174">
        <v>40</v>
      </c>
      <c r="D10" s="57">
        <v>16</v>
      </c>
      <c r="E10" s="38"/>
      <c r="F10" s="319"/>
      <c r="G10" s="159" t="s">
        <v>11</v>
      </c>
      <c r="H10" s="163">
        <f t="array" ref="H10:AL10">TRANSPOSE(D8:D38)</f>
        <v>16</v>
      </c>
      <c r="I10" s="163">
        <v>16</v>
      </c>
      <c r="J10" s="163">
        <v>16</v>
      </c>
      <c r="K10" s="163">
        <v>16</v>
      </c>
      <c r="L10" s="163">
        <v>16</v>
      </c>
      <c r="M10" s="163">
        <v>12</v>
      </c>
      <c r="N10" s="163">
        <v>12</v>
      </c>
      <c r="O10" s="163">
        <v>16</v>
      </c>
      <c r="P10" s="163">
        <v>16</v>
      </c>
      <c r="Q10" s="163">
        <v>16</v>
      </c>
      <c r="R10" s="163">
        <v>16</v>
      </c>
      <c r="S10" s="163">
        <v>16</v>
      </c>
      <c r="T10" s="163">
        <v>12</v>
      </c>
      <c r="U10" s="163">
        <v>12</v>
      </c>
      <c r="V10" s="163">
        <v>16</v>
      </c>
      <c r="W10" s="163">
        <v>16</v>
      </c>
      <c r="X10" s="163">
        <v>16</v>
      </c>
      <c r="Y10" s="163">
        <v>16</v>
      </c>
      <c r="Z10" s="163">
        <v>16</v>
      </c>
      <c r="AA10" s="163">
        <v>12</v>
      </c>
      <c r="AB10" s="163">
        <v>12</v>
      </c>
      <c r="AC10" s="163">
        <v>16</v>
      </c>
      <c r="AD10" s="163">
        <v>16</v>
      </c>
      <c r="AE10" s="163">
        <v>16</v>
      </c>
      <c r="AF10" s="163">
        <v>16</v>
      </c>
      <c r="AG10" s="163">
        <v>16</v>
      </c>
      <c r="AH10" s="163">
        <v>12</v>
      </c>
      <c r="AI10" s="163">
        <v>12</v>
      </c>
      <c r="AJ10" s="163">
        <v>16</v>
      </c>
      <c r="AK10" s="163">
        <v>16</v>
      </c>
      <c r="AL10" s="164">
        <v>16</v>
      </c>
    </row>
    <row r="11" spans="2:43" s="40" customFormat="1" ht="18" customHeight="1" thickBot="1" x14ac:dyDescent="0.35">
      <c r="B11" s="56">
        <v>4</v>
      </c>
      <c r="C11" s="174">
        <v>40</v>
      </c>
      <c r="D11" s="57">
        <v>16</v>
      </c>
      <c r="E11" s="38"/>
      <c r="F11" s="320"/>
      <c r="G11" s="160" t="s">
        <v>3</v>
      </c>
      <c r="H11" s="161">
        <f>H9+H10</f>
        <v>56</v>
      </c>
      <c r="I11" s="161">
        <f t="shared" ref="I11:AL11" si="0">I9+I10</f>
        <v>56</v>
      </c>
      <c r="J11" s="161">
        <f t="shared" si="0"/>
        <v>56</v>
      </c>
      <c r="K11" s="161">
        <f t="shared" si="0"/>
        <v>56</v>
      </c>
      <c r="L11" s="161">
        <f t="shared" si="0"/>
        <v>58</v>
      </c>
      <c r="M11" s="161">
        <f t="shared" si="0"/>
        <v>46</v>
      </c>
      <c r="N11" s="161">
        <f t="shared" si="0"/>
        <v>50</v>
      </c>
      <c r="O11" s="161">
        <f t="shared" si="0"/>
        <v>56</v>
      </c>
      <c r="P11" s="161">
        <f t="shared" si="0"/>
        <v>56</v>
      </c>
      <c r="Q11" s="161">
        <f t="shared" si="0"/>
        <v>56</v>
      </c>
      <c r="R11" s="161">
        <f t="shared" si="0"/>
        <v>56</v>
      </c>
      <c r="S11" s="161">
        <f t="shared" si="0"/>
        <v>57</v>
      </c>
      <c r="T11" s="161">
        <f t="shared" si="0"/>
        <v>46</v>
      </c>
      <c r="U11" s="161">
        <f t="shared" si="0"/>
        <v>50</v>
      </c>
      <c r="V11" s="161">
        <f t="shared" si="0"/>
        <v>56</v>
      </c>
      <c r="W11" s="161">
        <f t="shared" si="0"/>
        <v>56</v>
      </c>
      <c r="X11" s="161">
        <f t="shared" si="0"/>
        <v>57</v>
      </c>
      <c r="Y11" s="161">
        <f t="shared" si="0"/>
        <v>56</v>
      </c>
      <c r="Z11" s="161">
        <f t="shared" si="0"/>
        <v>57</v>
      </c>
      <c r="AA11" s="161">
        <f t="shared" si="0"/>
        <v>46</v>
      </c>
      <c r="AB11" s="161">
        <f t="shared" si="0"/>
        <v>50</v>
      </c>
      <c r="AC11" s="161">
        <f t="shared" si="0"/>
        <v>56</v>
      </c>
      <c r="AD11" s="161">
        <f t="shared" si="0"/>
        <v>58</v>
      </c>
      <c r="AE11" s="161">
        <f t="shared" si="0"/>
        <v>58</v>
      </c>
      <c r="AF11" s="161">
        <f t="shared" si="0"/>
        <v>58</v>
      </c>
      <c r="AG11" s="161">
        <f t="shared" si="0"/>
        <v>59</v>
      </c>
      <c r="AH11" s="161">
        <f t="shared" si="0"/>
        <v>47</v>
      </c>
      <c r="AI11" s="161">
        <f t="shared" si="0"/>
        <v>52</v>
      </c>
      <c r="AJ11" s="161">
        <f t="shared" si="0"/>
        <v>58</v>
      </c>
      <c r="AK11" s="161">
        <f t="shared" si="0"/>
        <v>59</v>
      </c>
      <c r="AL11" s="162">
        <f t="shared" si="0"/>
        <v>58</v>
      </c>
    </row>
    <row r="12" spans="2:43" s="40" customFormat="1" ht="18" customHeight="1" x14ac:dyDescent="0.3">
      <c r="B12" s="56">
        <v>5</v>
      </c>
      <c r="C12" s="174">
        <v>42</v>
      </c>
      <c r="D12" s="57">
        <v>16</v>
      </c>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thickBot="1" x14ac:dyDescent="0.35">
      <c r="B13" s="56">
        <v>6</v>
      </c>
      <c r="C13" s="174">
        <v>34</v>
      </c>
      <c r="D13" s="57">
        <v>12</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v>38</v>
      </c>
      <c r="D14" s="57">
        <v>12</v>
      </c>
      <c r="E14" s="38"/>
      <c r="F14" s="38"/>
      <c r="G14" s="38"/>
      <c r="H14" s="38"/>
      <c r="I14" s="195"/>
      <c r="J14" s="196"/>
      <c r="K14" s="196"/>
      <c r="L14" s="196"/>
      <c r="M14" s="196"/>
      <c r="N14" s="196"/>
      <c r="O14" s="196"/>
      <c r="P14" s="196"/>
      <c r="Q14" s="196"/>
      <c r="R14" s="196"/>
      <c r="S14" s="196"/>
      <c r="T14" s="196"/>
      <c r="U14" s="196"/>
      <c r="V14" s="196"/>
      <c r="W14" s="196"/>
      <c r="X14" s="196"/>
      <c r="Y14" s="196"/>
      <c r="Z14" s="196"/>
      <c r="AA14" s="196"/>
      <c r="AB14" s="196"/>
      <c r="AC14" s="196"/>
      <c r="AD14" s="196"/>
      <c r="AE14" s="196"/>
      <c r="AF14" s="196"/>
      <c r="AG14" s="196"/>
      <c r="AH14" s="196"/>
      <c r="AI14" s="196"/>
      <c r="AJ14" s="197"/>
      <c r="AK14" s="38"/>
      <c r="AL14" s="38"/>
      <c r="AM14" s="38"/>
      <c r="AN14" s="38"/>
      <c r="AO14" s="38"/>
      <c r="AP14" s="38"/>
      <c r="AQ14" s="38"/>
    </row>
    <row r="15" spans="2:43" s="40" customFormat="1" ht="18" customHeight="1" x14ac:dyDescent="0.3">
      <c r="B15" s="56">
        <v>8</v>
      </c>
      <c r="C15" s="174">
        <v>40</v>
      </c>
      <c r="D15" s="57">
        <v>16</v>
      </c>
      <c r="E15" s="38"/>
      <c r="F15" s="38"/>
      <c r="G15" s="38"/>
      <c r="H15" s="38"/>
      <c r="I15" s="19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199"/>
      <c r="AK15" s="38"/>
      <c r="AL15" s="38"/>
      <c r="AM15" s="38"/>
      <c r="AN15" s="38"/>
      <c r="AO15" s="38"/>
      <c r="AP15" s="38"/>
      <c r="AQ15" s="38"/>
    </row>
    <row r="16" spans="2:43" s="40" customFormat="1" ht="18" customHeight="1" x14ac:dyDescent="0.3">
      <c r="B16" s="56">
        <v>9</v>
      </c>
      <c r="C16" s="174">
        <v>40</v>
      </c>
      <c r="D16" s="57">
        <v>16</v>
      </c>
      <c r="E16" s="38"/>
      <c r="F16" s="38"/>
      <c r="G16" s="38"/>
      <c r="H16" s="38"/>
      <c r="I16" s="198"/>
      <c r="J16" s="38"/>
      <c r="K16" s="38"/>
      <c r="L16" s="38"/>
      <c r="M16" s="38"/>
      <c r="N16" s="38"/>
      <c r="O16" s="38"/>
      <c r="P16" s="38"/>
      <c r="Q16" s="38"/>
      <c r="R16" s="38"/>
      <c r="S16" s="283" t="s">
        <v>13</v>
      </c>
      <c r="T16" s="283"/>
      <c r="U16" s="283"/>
      <c r="V16" s="283"/>
      <c r="W16" s="283"/>
      <c r="X16" s="283"/>
      <c r="Y16" s="283"/>
      <c r="Z16" s="283"/>
      <c r="AA16" s="283"/>
      <c r="AB16" s="283"/>
      <c r="AC16" s="283"/>
      <c r="AD16" s="283"/>
      <c r="AE16" s="283"/>
      <c r="AF16" s="283"/>
      <c r="AG16" s="283"/>
      <c r="AH16" s="283"/>
      <c r="AI16" s="283"/>
      <c r="AJ16" s="199"/>
      <c r="AK16" s="38"/>
      <c r="AL16" s="38"/>
      <c r="AM16" s="38"/>
      <c r="AN16" s="38"/>
      <c r="AO16" s="38"/>
      <c r="AP16" s="38"/>
      <c r="AQ16" s="38"/>
    </row>
    <row r="17" spans="2:43" s="40" customFormat="1" ht="18" customHeight="1" x14ac:dyDescent="0.3">
      <c r="B17" s="56">
        <v>10</v>
      </c>
      <c r="C17" s="174">
        <v>40</v>
      </c>
      <c r="D17" s="57">
        <v>16</v>
      </c>
      <c r="E17" s="38"/>
      <c r="F17" s="38"/>
      <c r="G17" s="38"/>
      <c r="H17" s="38"/>
      <c r="I17" s="198"/>
      <c r="J17" s="38"/>
      <c r="K17" s="38"/>
      <c r="L17" s="38"/>
      <c r="M17" s="38"/>
      <c r="N17" s="38"/>
      <c r="O17" s="38"/>
      <c r="P17" s="38"/>
      <c r="Q17" s="38"/>
      <c r="R17" s="38"/>
      <c r="S17" s="283"/>
      <c r="T17" s="283"/>
      <c r="U17" s="283"/>
      <c r="V17" s="283"/>
      <c r="W17" s="283"/>
      <c r="X17" s="283"/>
      <c r="Y17" s="283"/>
      <c r="Z17" s="283"/>
      <c r="AA17" s="283"/>
      <c r="AB17" s="283"/>
      <c r="AC17" s="283"/>
      <c r="AD17" s="283"/>
      <c r="AE17" s="283"/>
      <c r="AF17" s="283"/>
      <c r="AG17" s="283"/>
      <c r="AH17" s="283"/>
      <c r="AI17" s="283"/>
      <c r="AJ17" s="199"/>
      <c r="AK17" s="38"/>
      <c r="AL17" s="38"/>
      <c r="AM17" s="38"/>
      <c r="AN17" s="38"/>
      <c r="AO17" s="38"/>
      <c r="AP17" s="38"/>
      <c r="AQ17" s="38"/>
    </row>
    <row r="18" spans="2:43" s="40" customFormat="1" ht="18" customHeight="1" x14ac:dyDescent="0.3">
      <c r="B18" s="56">
        <v>11</v>
      </c>
      <c r="C18" s="174">
        <v>40</v>
      </c>
      <c r="D18" s="57">
        <v>16</v>
      </c>
      <c r="E18" s="38"/>
      <c r="F18" s="38"/>
      <c r="G18" s="38"/>
      <c r="H18" s="38"/>
      <c r="I18" s="198"/>
      <c r="J18" s="38"/>
      <c r="K18" s="38"/>
      <c r="L18" s="38"/>
      <c r="M18" s="38"/>
      <c r="N18" s="38"/>
      <c r="O18" s="38"/>
      <c r="P18" s="38"/>
      <c r="Q18" s="38"/>
      <c r="R18" s="38"/>
      <c r="S18" s="283"/>
      <c r="T18" s="283"/>
      <c r="U18" s="283"/>
      <c r="V18" s="283"/>
      <c r="W18" s="283"/>
      <c r="X18" s="283"/>
      <c r="Y18" s="283"/>
      <c r="Z18" s="283"/>
      <c r="AA18" s="283"/>
      <c r="AB18" s="283"/>
      <c r="AC18" s="283"/>
      <c r="AD18" s="283"/>
      <c r="AE18" s="283"/>
      <c r="AF18" s="283"/>
      <c r="AG18" s="283"/>
      <c r="AH18" s="283"/>
      <c r="AI18" s="283"/>
      <c r="AJ18" s="199"/>
      <c r="AK18" s="38"/>
      <c r="AL18" s="38"/>
      <c r="AM18" s="38"/>
      <c r="AN18" s="38"/>
    </row>
    <row r="19" spans="2:43" s="40" customFormat="1" ht="18" customHeight="1" x14ac:dyDescent="0.3">
      <c r="B19" s="56">
        <v>12</v>
      </c>
      <c r="C19" s="174">
        <v>41</v>
      </c>
      <c r="D19" s="57">
        <v>16</v>
      </c>
      <c r="E19" s="53"/>
      <c r="F19" s="38"/>
      <c r="G19" s="38"/>
      <c r="H19" s="38"/>
      <c r="I19" s="198"/>
      <c r="J19" s="38"/>
      <c r="K19" s="38"/>
      <c r="L19" s="38"/>
      <c r="M19" s="38"/>
      <c r="N19" s="38"/>
      <c r="O19" s="38"/>
      <c r="P19" s="38"/>
      <c r="Q19" s="38"/>
      <c r="R19" s="38"/>
      <c r="S19" s="283"/>
      <c r="T19" s="283"/>
      <c r="U19" s="283"/>
      <c r="V19" s="283"/>
      <c r="W19" s="283"/>
      <c r="X19" s="283"/>
      <c r="Y19" s="283"/>
      <c r="Z19" s="283"/>
      <c r="AA19" s="283"/>
      <c r="AB19" s="283"/>
      <c r="AC19" s="283"/>
      <c r="AD19" s="283"/>
      <c r="AE19" s="283"/>
      <c r="AF19" s="283"/>
      <c r="AG19" s="283"/>
      <c r="AH19" s="283"/>
      <c r="AI19" s="283"/>
      <c r="AJ19" s="199"/>
      <c r="AK19" s="38"/>
      <c r="AL19" s="38"/>
      <c r="AM19" s="38"/>
      <c r="AN19" s="38"/>
    </row>
    <row r="20" spans="2:43" s="40" customFormat="1" ht="18" customHeight="1" thickBot="1" x14ac:dyDescent="0.35">
      <c r="B20" s="56">
        <v>13</v>
      </c>
      <c r="C20" s="174">
        <v>34</v>
      </c>
      <c r="D20" s="57">
        <v>12</v>
      </c>
      <c r="E20" s="53"/>
      <c r="F20" s="38"/>
      <c r="G20" s="38"/>
      <c r="H20" s="38"/>
      <c r="I20" s="200"/>
      <c r="J20" s="201"/>
      <c r="K20" s="201"/>
      <c r="L20" s="201"/>
      <c r="M20" s="201"/>
      <c r="N20" s="201"/>
      <c r="O20" s="201"/>
      <c r="P20" s="201"/>
      <c r="Q20" s="201"/>
      <c r="R20" s="201"/>
      <c r="S20" s="201"/>
      <c r="T20" s="201"/>
      <c r="U20" s="201"/>
      <c r="V20" s="201"/>
      <c r="W20" s="201"/>
      <c r="X20" s="201"/>
      <c r="Y20" s="201"/>
      <c r="Z20" s="201"/>
      <c r="AA20" s="201"/>
      <c r="AB20" s="201"/>
      <c r="AC20" s="201"/>
      <c r="AD20" s="201"/>
      <c r="AE20" s="201"/>
      <c r="AF20" s="201"/>
      <c r="AG20" s="201"/>
      <c r="AH20" s="201"/>
      <c r="AI20" s="201"/>
      <c r="AJ20" s="202"/>
      <c r="AK20" s="38"/>
      <c r="AL20" s="38"/>
      <c r="AM20" s="38"/>
      <c r="AN20" s="38"/>
    </row>
    <row r="21" spans="2:43" s="40" customFormat="1" ht="18" customHeight="1" thickBot="1" x14ac:dyDescent="0.35">
      <c r="B21" s="56">
        <v>14</v>
      </c>
      <c r="C21" s="174">
        <v>38</v>
      </c>
      <c r="D21" s="57">
        <v>12</v>
      </c>
      <c r="E21" s="53"/>
      <c r="F21" s="38"/>
      <c r="G21" s="38"/>
      <c r="H21" s="38"/>
      <c r="I21" s="203"/>
      <c r="J21" s="204"/>
      <c r="K21" s="204"/>
      <c r="L21" s="204"/>
      <c r="M21" s="204"/>
      <c r="N21" s="204"/>
      <c r="O21" s="204"/>
      <c r="P21" s="204"/>
      <c r="Q21" s="204"/>
      <c r="R21" s="204"/>
      <c r="S21" s="204"/>
      <c r="T21" s="204"/>
      <c r="U21" s="204"/>
      <c r="V21" s="204"/>
      <c r="W21" s="204"/>
      <c r="X21" s="204"/>
      <c r="Y21" s="204"/>
      <c r="Z21" s="204"/>
      <c r="AA21" s="204"/>
      <c r="AB21" s="204"/>
      <c r="AC21" s="204"/>
      <c r="AD21" s="204"/>
      <c r="AE21" s="204"/>
      <c r="AF21" s="204"/>
      <c r="AG21" s="204"/>
      <c r="AH21" s="204"/>
      <c r="AI21" s="204"/>
      <c r="AJ21" s="205"/>
      <c r="AK21" s="38"/>
      <c r="AL21" s="38"/>
      <c r="AM21" s="38"/>
      <c r="AN21" s="38"/>
    </row>
    <row r="22" spans="2:43" s="40" customFormat="1" ht="18" customHeight="1" x14ac:dyDescent="0.3">
      <c r="B22" s="56">
        <v>15</v>
      </c>
      <c r="C22" s="174">
        <v>40</v>
      </c>
      <c r="D22" s="57">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thickBot="1" x14ac:dyDescent="0.35">
      <c r="B23" s="56">
        <v>16</v>
      </c>
      <c r="C23" s="174">
        <v>40</v>
      </c>
      <c r="D23" s="57">
        <v>16</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v>41</v>
      </c>
      <c r="D24" s="57">
        <v>16</v>
      </c>
      <c r="E24" s="53"/>
      <c r="F24" s="38"/>
      <c r="G24" s="38"/>
      <c r="H24" s="38"/>
      <c r="I24" s="287"/>
      <c r="J24" s="288"/>
      <c r="K24" s="288"/>
      <c r="L24" s="288"/>
      <c r="M24" s="288"/>
      <c r="N24" s="288"/>
      <c r="O24" s="288"/>
      <c r="P24" s="288"/>
      <c r="Q24" s="288"/>
      <c r="R24" s="289"/>
      <c r="S24" s="196"/>
      <c r="T24" s="281" t="s">
        <v>14</v>
      </c>
      <c r="U24" s="281"/>
      <c r="V24" s="281"/>
      <c r="W24" s="281"/>
      <c r="X24" s="281"/>
      <c r="Y24" s="281"/>
      <c r="Z24" s="281"/>
      <c r="AA24" s="281"/>
      <c r="AB24" s="281"/>
      <c r="AC24" s="281"/>
      <c r="AD24" s="281"/>
      <c r="AE24" s="281"/>
      <c r="AF24" s="281"/>
      <c r="AG24" s="281"/>
      <c r="AH24" s="281"/>
      <c r="AI24" s="281"/>
      <c r="AJ24" s="282"/>
      <c r="AK24" s="38"/>
      <c r="AL24" s="38"/>
      <c r="AM24" s="38"/>
      <c r="AN24" s="38"/>
    </row>
    <row r="25" spans="2:43" s="40" customFormat="1" ht="18" customHeight="1" x14ac:dyDescent="0.3">
      <c r="B25" s="56">
        <v>18</v>
      </c>
      <c r="C25" s="174">
        <v>40</v>
      </c>
      <c r="D25" s="57">
        <v>16</v>
      </c>
      <c r="E25" s="53"/>
      <c r="F25" s="38"/>
      <c r="G25" s="38"/>
      <c r="H25" s="38"/>
      <c r="I25" s="290"/>
      <c r="J25" s="291"/>
      <c r="K25" s="291"/>
      <c r="L25" s="291"/>
      <c r="M25" s="291"/>
      <c r="N25" s="291"/>
      <c r="O25" s="291"/>
      <c r="P25" s="291"/>
      <c r="Q25" s="291"/>
      <c r="R25" s="292"/>
      <c r="S25" s="38"/>
      <c r="T25" s="283"/>
      <c r="U25" s="283"/>
      <c r="V25" s="283"/>
      <c r="W25" s="283"/>
      <c r="X25" s="283"/>
      <c r="Y25" s="283"/>
      <c r="Z25" s="283"/>
      <c r="AA25" s="283"/>
      <c r="AB25" s="283"/>
      <c r="AC25" s="283"/>
      <c r="AD25" s="283"/>
      <c r="AE25" s="283"/>
      <c r="AF25" s="283"/>
      <c r="AG25" s="283"/>
      <c r="AH25" s="283"/>
      <c r="AI25" s="283"/>
      <c r="AJ25" s="284"/>
      <c r="AK25" s="38"/>
      <c r="AL25" s="38"/>
      <c r="AM25" s="38"/>
      <c r="AN25" s="38"/>
    </row>
    <row r="26" spans="2:43" s="40" customFormat="1" ht="18" customHeight="1" x14ac:dyDescent="0.3">
      <c r="B26" s="56">
        <v>19</v>
      </c>
      <c r="C26" s="174">
        <v>41</v>
      </c>
      <c r="D26" s="57">
        <v>16</v>
      </c>
      <c r="E26" s="53"/>
      <c r="F26" s="38"/>
      <c r="G26" s="38"/>
      <c r="H26" s="38"/>
      <c r="I26" s="290"/>
      <c r="J26" s="291"/>
      <c r="K26" s="291"/>
      <c r="L26" s="291"/>
      <c r="M26" s="291"/>
      <c r="N26" s="291"/>
      <c r="O26" s="291"/>
      <c r="P26" s="291"/>
      <c r="Q26" s="291"/>
      <c r="R26" s="292"/>
      <c r="T26" s="283"/>
      <c r="U26" s="283"/>
      <c r="V26" s="283"/>
      <c r="W26" s="283"/>
      <c r="X26" s="283"/>
      <c r="Y26" s="283"/>
      <c r="Z26" s="283"/>
      <c r="AA26" s="283"/>
      <c r="AB26" s="283"/>
      <c r="AC26" s="283"/>
      <c r="AD26" s="283"/>
      <c r="AE26" s="283"/>
      <c r="AF26" s="283"/>
      <c r="AG26" s="283"/>
      <c r="AH26" s="283"/>
      <c r="AI26" s="283"/>
      <c r="AJ26" s="284"/>
      <c r="AK26" s="38"/>
      <c r="AL26" s="38"/>
      <c r="AM26" s="38"/>
      <c r="AN26" s="38"/>
    </row>
    <row r="27" spans="2:43" s="40" customFormat="1" ht="18" customHeight="1" x14ac:dyDescent="0.3">
      <c r="B27" s="56">
        <v>20</v>
      </c>
      <c r="C27" s="174">
        <v>34</v>
      </c>
      <c r="D27" s="57">
        <v>12</v>
      </c>
      <c r="E27" s="53"/>
      <c r="F27" s="38"/>
      <c r="G27" s="38"/>
      <c r="H27" s="38"/>
      <c r="I27" s="290"/>
      <c r="J27" s="291"/>
      <c r="K27" s="291"/>
      <c r="L27" s="291"/>
      <c r="M27" s="291"/>
      <c r="N27" s="291"/>
      <c r="O27" s="291"/>
      <c r="P27" s="291"/>
      <c r="Q27" s="291"/>
      <c r="R27" s="292"/>
      <c r="S27" s="209"/>
      <c r="T27" s="283"/>
      <c r="U27" s="283"/>
      <c r="V27" s="283"/>
      <c r="W27" s="283"/>
      <c r="X27" s="283"/>
      <c r="Y27" s="283"/>
      <c r="Z27" s="283"/>
      <c r="AA27" s="283"/>
      <c r="AB27" s="283"/>
      <c r="AC27" s="283"/>
      <c r="AD27" s="283"/>
      <c r="AE27" s="283"/>
      <c r="AF27" s="283"/>
      <c r="AG27" s="283"/>
      <c r="AH27" s="283"/>
      <c r="AI27" s="283"/>
      <c r="AJ27" s="284"/>
      <c r="AK27" s="38"/>
      <c r="AL27" s="38"/>
      <c r="AM27" s="38"/>
      <c r="AN27" s="38"/>
    </row>
    <row r="28" spans="2:43" s="40" customFormat="1" ht="18" customHeight="1" x14ac:dyDescent="0.3">
      <c r="B28" s="56">
        <v>21</v>
      </c>
      <c r="C28" s="174">
        <v>38</v>
      </c>
      <c r="D28" s="57">
        <v>12</v>
      </c>
      <c r="E28" s="53"/>
      <c r="F28" s="38"/>
      <c r="G28" s="38"/>
      <c r="H28" s="38"/>
      <c r="I28" s="290"/>
      <c r="J28" s="291"/>
      <c r="K28" s="291"/>
      <c r="L28" s="291"/>
      <c r="M28" s="291"/>
      <c r="N28" s="291"/>
      <c r="O28" s="291"/>
      <c r="P28" s="291"/>
      <c r="Q28" s="291"/>
      <c r="R28" s="292"/>
      <c r="S28" s="209"/>
      <c r="T28" s="283"/>
      <c r="U28" s="283"/>
      <c r="V28" s="283"/>
      <c r="W28" s="283"/>
      <c r="X28" s="283"/>
      <c r="Y28" s="283"/>
      <c r="Z28" s="283"/>
      <c r="AA28" s="283"/>
      <c r="AB28" s="283"/>
      <c r="AC28" s="283"/>
      <c r="AD28" s="283"/>
      <c r="AE28" s="283"/>
      <c r="AF28" s="283"/>
      <c r="AG28" s="283"/>
      <c r="AH28" s="283"/>
      <c r="AI28" s="283"/>
      <c r="AJ28" s="284"/>
      <c r="AK28" s="38"/>
      <c r="AL28" s="38"/>
      <c r="AM28" s="38"/>
      <c r="AN28" s="38"/>
    </row>
    <row r="29" spans="2:43" s="40" customFormat="1" ht="18" customHeight="1" x14ac:dyDescent="0.3">
      <c r="B29" s="56">
        <v>22</v>
      </c>
      <c r="C29" s="174">
        <v>40</v>
      </c>
      <c r="D29" s="57">
        <v>16</v>
      </c>
      <c r="E29" s="53"/>
      <c r="F29" s="38"/>
      <c r="G29" s="38"/>
      <c r="H29" s="38"/>
      <c r="I29" s="290"/>
      <c r="J29" s="291"/>
      <c r="K29" s="291"/>
      <c r="L29" s="291"/>
      <c r="M29" s="291"/>
      <c r="N29" s="291"/>
      <c r="O29" s="291"/>
      <c r="P29" s="291"/>
      <c r="Q29" s="291"/>
      <c r="R29" s="292"/>
      <c r="S29" s="209"/>
      <c r="T29" s="283"/>
      <c r="U29" s="283"/>
      <c r="V29" s="283"/>
      <c r="W29" s="283"/>
      <c r="X29" s="283"/>
      <c r="Y29" s="283"/>
      <c r="Z29" s="283"/>
      <c r="AA29" s="283"/>
      <c r="AB29" s="283"/>
      <c r="AC29" s="283"/>
      <c r="AD29" s="283"/>
      <c r="AE29" s="283"/>
      <c r="AF29" s="283"/>
      <c r="AG29" s="283"/>
      <c r="AH29" s="283"/>
      <c r="AI29" s="283"/>
      <c r="AJ29" s="284"/>
      <c r="AK29" s="38"/>
      <c r="AL29" s="38"/>
      <c r="AM29" s="38"/>
      <c r="AN29" s="38"/>
    </row>
    <row r="30" spans="2:43" s="40" customFormat="1" ht="18" customHeight="1" thickBot="1" x14ac:dyDescent="0.35">
      <c r="B30" s="56">
        <v>23</v>
      </c>
      <c r="C30" s="174">
        <v>42</v>
      </c>
      <c r="D30" s="57">
        <v>16</v>
      </c>
      <c r="E30" s="53"/>
      <c r="F30" s="38"/>
      <c r="G30" s="38"/>
      <c r="H30" s="38"/>
      <c r="I30" s="293"/>
      <c r="J30" s="294"/>
      <c r="K30" s="294"/>
      <c r="L30" s="294"/>
      <c r="M30" s="294"/>
      <c r="N30" s="294"/>
      <c r="O30" s="294"/>
      <c r="P30" s="294"/>
      <c r="Q30" s="294"/>
      <c r="R30" s="295"/>
      <c r="S30" s="201"/>
      <c r="T30" s="285"/>
      <c r="U30" s="285"/>
      <c r="V30" s="285"/>
      <c r="W30" s="285"/>
      <c r="X30" s="285"/>
      <c r="Y30" s="285"/>
      <c r="Z30" s="285"/>
      <c r="AA30" s="285"/>
      <c r="AB30" s="285"/>
      <c r="AC30" s="285"/>
      <c r="AD30" s="285"/>
      <c r="AE30" s="285"/>
      <c r="AF30" s="285"/>
      <c r="AG30" s="285"/>
      <c r="AH30" s="285"/>
      <c r="AI30" s="285"/>
      <c r="AJ30" s="286"/>
      <c r="AK30" s="38"/>
      <c r="AL30" s="38"/>
      <c r="AM30" s="38"/>
      <c r="AN30" s="38"/>
    </row>
    <row r="31" spans="2:43" s="40" customFormat="1" ht="18" customHeight="1" thickBot="1" x14ac:dyDescent="0.35">
      <c r="B31" s="56">
        <v>24</v>
      </c>
      <c r="C31" s="174">
        <v>42</v>
      </c>
      <c r="D31" s="57">
        <v>16</v>
      </c>
      <c r="E31" s="53"/>
      <c r="F31" s="38"/>
      <c r="G31" s="38"/>
      <c r="H31" s="38"/>
      <c r="I31" s="206"/>
      <c r="J31" s="207"/>
      <c r="K31" s="207"/>
      <c r="L31" s="207"/>
      <c r="M31" s="207"/>
      <c r="N31" s="207"/>
      <c r="O31" s="207"/>
      <c r="P31" s="207"/>
      <c r="Q31" s="207"/>
      <c r="R31" s="207"/>
      <c r="S31" s="207"/>
      <c r="T31" s="207"/>
      <c r="U31" s="207"/>
      <c r="V31" s="207"/>
      <c r="W31" s="207"/>
      <c r="X31" s="207"/>
      <c r="Y31" s="207"/>
      <c r="Z31" s="207"/>
      <c r="AA31" s="207"/>
      <c r="AB31" s="207"/>
      <c r="AC31" s="207"/>
      <c r="AD31" s="207"/>
      <c r="AE31" s="207"/>
      <c r="AF31" s="207"/>
      <c r="AG31" s="207"/>
      <c r="AH31" s="207"/>
      <c r="AI31" s="207"/>
      <c r="AJ31" s="208"/>
      <c r="AK31" s="38"/>
      <c r="AL31" s="38"/>
      <c r="AM31" s="38"/>
      <c r="AN31" s="38"/>
    </row>
    <row r="32" spans="2:43" s="40" customFormat="1" ht="18" customHeight="1" x14ac:dyDescent="0.3">
      <c r="B32" s="56">
        <v>25</v>
      </c>
      <c r="C32" s="174">
        <v>42</v>
      </c>
      <c r="D32" s="57">
        <v>16</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v>43</v>
      </c>
      <c r="D33" s="57">
        <v>16</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v>35</v>
      </c>
      <c r="D34" s="57">
        <v>12</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v>40</v>
      </c>
      <c r="D35" s="57">
        <v>12</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v>42</v>
      </c>
      <c r="D36" s="57">
        <v>16</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v>43</v>
      </c>
      <c r="D37" s="57">
        <v>16</v>
      </c>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thickBot="1" x14ac:dyDescent="0.35">
      <c r="B38" s="89">
        <v>31</v>
      </c>
      <c r="C38" s="180">
        <v>42</v>
      </c>
      <c r="D38" s="91">
        <v>16</v>
      </c>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Bot="1" x14ac:dyDescent="0.3">
      <c r="B39" s="92" t="s">
        <v>3</v>
      </c>
      <c r="C39" s="94">
        <f>SUM(C8:C38)</f>
        <v>1232</v>
      </c>
      <c r="D39" s="94">
        <f>SUM(D8:D38)</f>
        <v>464</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12">
    <mergeCell ref="I24:R30"/>
    <mergeCell ref="T24:AJ30"/>
    <mergeCell ref="S16:AI19"/>
    <mergeCell ref="B3:D3"/>
    <mergeCell ref="F3:AL4"/>
    <mergeCell ref="B4:D4"/>
    <mergeCell ref="B5:B7"/>
    <mergeCell ref="C5:D5"/>
    <mergeCell ref="F5:AL6"/>
    <mergeCell ref="C6:D6"/>
    <mergeCell ref="F7:F11"/>
    <mergeCell ref="H7:AL7"/>
  </mergeCells>
  <pageMargins left="0.75" right="0.75" top="1" bottom="1" header="0" footer="0"/>
  <pageSetup paperSize="9" scale="26" orientation="landscape" horizontalDpi="300" verticalDpi="300"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476134-6652-4C96-82E4-469F6B9140F5}">
  <sheetPr codeName="Hoja22">
    <pageSetUpPr fitToPage="1"/>
  </sheetPr>
  <dimension ref="B1:AQ42"/>
  <sheetViews>
    <sheetView showGridLines="0" topLeftCell="D4" zoomScale="70" zoomScaleNormal="70" workbookViewId="0">
      <selection activeCell="R33" sqref="R33"/>
    </sheetView>
  </sheetViews>
  <sheetFormatPr baseColWidth="10" defaultColWidth="11.44140625" defaultRowHeight="13.2" x14ac:dyDescent="0.25"/>
  <cols>
    <col min="1" max="1" width="2.21875" style="38" customWidth="1"/>
    <col min="2" max="2" width="11.77734375" style="37" customWidth="1"/>
    <col min="3" max="3" width="19.44140625" style="38" customWidth="1"/>
    <col min="4" max="4" width="27.77734375" style="38" customWidth="1"/>
    <col min="5" max="5" width="10.21875" style="38" customWidth="1"/>
    <col min="6" max="6" width="6.21875" style="38" customWidth="1"/>
    <col min="7" max="7" width="10.21875" style="38" customWidth="1"/>
    <col min="8" max="38" width="6.5546875" style="38" customWidth="1"/>
    <col min="39" max="39" width="7" style="38" bestFit="1" customWidth="1"/>
    <col min="40" max="40" width="4.77734375" style="38" bestFit="1" customWidth="1"/>
    <col min="41" max="41" width="3.77734375" style="38" customWidth="1"/>
    <col min="42" max="42" width="7.77734375" style="38" customWidth="1"/>
    <col min="43" max="16384" width="11.44140625" style="38"/>
  </cols>
  <sheetData>
    <row r="1" spans="2:43" ht="30.6" customHeight="1" x14ac:dyDescent="0.25"/>
    <row r="2" spans="2:43" ht="11.25" customHeight="1" thickBot="1" x14ac:dyDescent="0.3"/>
    <row r="3" spans="2:43" ht="34.049999999999997" customHeight="1" thickBot="1" x14ac:dyDescent="0.3">
      <c r="B3" s="302" t="s">
        <v>5</v>
      </c>
      <c r="C3" s="302"/>
      <c r="D3" s="302"/>
      <c r="F3" s="303" t="s">
        <v>6</v>
      </c>
      <c r="G3" s="304"/>
      <c r="H3" s="304"/>
      <c r="I3" s="304"/>
      <c r="J3" s="304"/>
      <c r="K3" s="304"/>
      <c r="L3" s="304"/>
      <c r="M3" s="304"/>
      <c r="N3" s="304"/>
      <c r="O3" s="304"/>
      <c r="P3" s="304"/>
      <c r="Q3" s="304"/>
      <c r="R3" s="304"/>
      <c r="S3" s="304"/>
      <c r="T3" s="304"/>
      <c r="U3" s="304"/>
      <c r="V3" s="304"/>
      <c r="W3" s="304"/>
      <c r="X3" s="304"/>
      <c r="Y3" s="304"/>
      <c r="Z3" s="304"/>
      <c r="AA3" s="304"/>
      <c r="AB3" s="304"/>
      <c r="AC3" s="304"/>
      <c r="AD3" s="304"/>
      <c r="AE3" s="304"/>
      <c r="AF3" s="304"/>
      <c r="AG3" s="304"/>
      <c r="AH3" s="304"/>
      <c r="AI3" s="304"/>
      <c r="AJ3" s="304"/>
      <c r="AK3" s="304"/>
      <c r="AL3" s="305"/>
      <c r="AM3" s="40"/>
      <c r="AN3" s="40"/>
    </row>
    <row r="4" spans="2:43" ht="24" customHeight="1" thickBot="1" x14ac:dyDescent="0.3">
      <c r="B4" s="397">
        <v>45413</v>
      </c>
      <c r="C4" s="398"/>
      <c r="D4" s="399"/>
      <c r="F4" s="306"/>
      <c r="G4" s="307"/>
      <c r="H4" s="307"/>
      <c r="I4" s="307"/>
      <c r="J4" s="307"/>
      <c r="K4" s="307"/>
      <c r="L4" s="307"/>
      <c r="M4" s="307"/>
      <c r="N4" s="307"/>
      <c r="O4" s="307"/>
      <c r="P4" s="307"/>
      <c r="Q4" s="307"/>
      <c r="R4" s="307"/>
      <c r="S4" s="307"/>
      <c r="T4" s="307"/>
      <c r="U4" s="307"/>
      <c r="V4" s="307"/>
      <c r="W4" s="307"/>
      <c r="X4" s="307"/>
      <c r="Y4" s="307"/>
      <c r="Z4" s="307"/>
      <c r="AA4" s="307"/>
      <c r="AB4" s="307"/>
      <c r="AC4" s="307"/>
      <c r="AD4" s="307"/>
      <c r="AE4" s="307"/>
      <c r="AF4" s="307"/>
      <c r="AG4" s="307"/>
      <c r="AH4" s="307"/>
      <c r="AI4" s="307"/>
      <c r="AJ4" s="307"/>
      <c r="AK4" s="307"/>
      <c r="AL4" s="308"/>
    </row>
    <row r="5" spans="2:43" ht="33.75" customHeight="1" thickBot="1" x14ac:dyDescent="0.3">
      <c r="B5" s="400" t="s">
        <v>10</v>
      </c>
      <c r="C5" s="403" t="s">
        <v>7</v>
      </c>
      <c r="D5" s="404"/>
      <c r="F5" s="312" t="s">
        <v>8</v>
      </c>
      <c r="G5" s="313"/>
      <c r="H5" s="313"/>
      <c r="I5" s="313"/>
      <c r="J5" s="313"/>
      <c r="K5" s="313"/>
      <c r="L5" s="313"/>
      <c r="M5" s="313"/>
      <c r="N5" s="313"/>
      <c r="O5" s="313"/>
      <c r="P5" s="313"/>
      <c r="Q5" s="313"/>
      <c r="R5" s="313"/>
      <c r="S5" s="313"/>
      <c r="T5" s="313"/>
      <c r="U5" s="313"/>
      <c r="V5" s="313"/>
      <c r="W5" s="313"/>
      <c r="X5" s="313"/>
      <c r="Y5" s="313"/>
      <c r="Z5" s="313"/>
      <c r="AA5" s="313"/>
      <c r="AB5" s="313"/>
      <c r="AC5" s="313"/>
      <c r="AD5" s="313"/>
      <c r="AE5" s="313"/>
      <c r="AF5" s="313"/>
      <c r="AG5" s="313"/>
      <c r="AH5" s="313"/>
      <c r="AI5" s="313"/>
      <c r="AJ5" s="313"/>
      <c r="AK5" s="313"/>
      <c r="AL5" s="314"/>
    </row>
    <row r="6" spans="2:43" ht="23.25" customHeight="1" thickBot="1" x14ac:dyDescent="0.3">
      <c r="B6" s="401"/>
      <c r="C6" s="408" t="s">
        <v>9</v>
      </c>
      <c r="D6" s="409"/>
      <c r="F6" s="315"/>
      <c r="G6" s="316"/>
      <c r="H6" s="316"/>
      <c r="I6" s="316"/>
      <c r="J6" s="316"/>
      <c r="K6" s="316"/>
      <c r="L6" s="316"/>
      <c r="M6" s="316"/>
      <c r="N6" s="316"/>
      <c r="O6" s="316"/>
      <c r="P6" s="316"/>
      <c r="Q6" s="316"/>
      <c r="R6" s="316"/>
      <c r="S6" s="316"/>
      <c r="T6" s="316"/>
      <c r="U6" s="316"/>
      <c r="V6" s="316"/>
      <c r="W6" s="316"/>
      <c r="X6" s="316"/>
      <c r="Y6" s="316"/>
      <c r="Z6" s="316"/>
      <c r="AA6" s="316"/>
      <c r="AB6" s="316"/>
      <c r="AC6" s="316"/>
      <c r="AD6" s="316"/>
      <c r="AE6" s="316"/>
      <c r="AF6" s="316"/>
      <c r="AG6" s="316"/>
      <c r="AH6" s="316"/>
      <c r="AI6" s="316"/>
      <c r="AJ6" s="316"/>
      <c r="AK6" s="316"/>
      <c r="AL6" s="317"/>
      <c r="AM6" s="40"/>
      <c r="AN6" s="40"/>
    </row>
    <row r="7" spans="2:43" ht="23.25" customHeight="1" thickBot="1" x14ac:dyDescent="0.3">
      <c r="B7" s="407" t="s">
        <v>89</v>
      </c>
      <c r="C7" s="178" t="s">
        <v>7</v>
      </c>
      <c r="D7" s="179" t="s">
        <v>11</v>
      </c>
      <c r="F7" s="385">
        <f>B4</f>
        <v>45413</v>
      </c>
      <c r="G7" s="165"/>
      <c r="H7" s="321" t="s">
        <v>2</v>
      </c>
      <c r="I7" s="321"/>
      <c r="J7" s="321"/>
      <c r="K7" s="321"/>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2"/>
      <c r="AM7" s="40"/>
      <c r="AN7" s="40"/>
    </row>
    <row r="8" spans="2:43" s="40" customFormat="1" ht="18" customHeight="1" x14ac:dyDescent="0.3">
      <c r="B8" s="95">
        <v>1</v>
      </c>
      <c r="C8" s="173">
        <v>37</v>
      </c>
      <c r="D8" s="177">
        <v>12</v>
      </c>
      <c r="E8" s="38"/>
      <c r="F8" s="386"/>
      <c r="G8" s="154"/>
      <c r="H8" s="157">
        <v>1</v>
      </c>
      <c r="I8" s="157">
        <v>2</v>
      </c>
      <c r="J8" s="157">
        <v>3</v>
      </c>
      <c r="K8" s="157">
        <v>4</v>
      </c>
      <c r="L8" s="157">
        <v>5</v>
      </c>
      <c r="M8" s="157">
        <v>6</v>
      </c>
      <c r="N8" s="157">
        <v>7</v>
      </c>
      <c r="O8" s="157">
        <v>8</v>
      </c>
      <c r="P8" s="157">
        <v>9</v>
      </c>
      <c r="Q8" s="157">
        <v>10</v>
      </c>
      <c r="R8" s="157">
        <v>11</v>
      </c>
      <c r="S8" s="157">
        <v>12</v>
      </c>
      <c r="T8" s="157">
        <v>13</v>
      </c>
      <c r="U8" s="157">
        <v>14</v>
      </c>
      <c r="V8" s="157">
        <v>15</v>
      </c>
      <c r="W8" s="157">
        <v>16</v>
      </c>
      <c r="X8" s="157">
        <v>17</v>
      </c>
      <c r="Y8" s="157">
        <v>18</v>
      </c>
      <c r="Z8" s="157">
        <v>19</v>
      </c>
      <c r="AA8" s="157">
        <v>20</v>
      </c>
      <c r="AB8" s="157">
        <v>21</v>
      </c>
      <c r="AC8" s="157">
        <v>22</v>
      </c>
      <c r="AD8" s="157">
        <v>23</v>
      </c>
      <c r="AE8" s="157">
        <v>24</v>
      </c>
      <c r="AF8" s="157">
        <v>25</v>
      </c>
      <c r="AG8" s="157">
        <v>26</v>
      </c>
      <c r="AH8" s="157">
        <v>27</v>
      </c>
      <c r="AI8" s="157">
        <v>28</v>
      </c>
      <c r="AJ8" s="157">
        <v>29</v>
      </c>
      <c r="AK8" s="157">
        <v>30</v>
      </c>
      <c r="AL8" s="158">
        <v>31</v>
      </c>
    </row>
    <row r="9" spans="2:43" s="40" customFormat="1" ht="18" customHeight="1" x14ac:dyDescent="0.3">
      <c r="B9" s="56">
        <v>2</v>
      </c>
      <c r="C9" s="174">
        <v>35</v>
      </c>
      <c r="D9" s="176">
        <v>16</v>
      </c>
      <c r="E9" s="38"/>
      <c r="F9" s="386"/>
      <c r="G9" s="159" t="s">
        <v>7</v>
      </c>
      <c r="H9" s="163">
        <f t="array" ref="H9:AL9">TRANSPOSE(C8:C38)</f>
        <v>37</v>
      </c>
      <c r="I9" s="163">
        <v>35</v>
      </c>
      <c r="J9" s="163">
        <v>38</v>
      </c>
      <c r="K9" s="163">
        <v>34</v>
      </c>
      <c r="L9" s="163">
        <v>35</v>
      </c>
      <c r="M9" s="163">
        <v>37</v>
      </c>
      <c r="N9" s="163">
        <v>37</v>
      </c>
      <c r="O9" s="163">
        <v>37</v>
      </c>
      <c r="P9" s="163">
        <v>37</v>
      </c>
      <c r="Q9" s="163">
        <v>39</v>
      </c>
      <c r="R9" s="163">
        <v>34</v>
      </c>
      <c r="S9" s="163">
        <v>35</v>
      </c>
      <c r="T9" s="163">
        <v>40</v>
      </c>
      <c r="U9" s="163">
        <v>37</v>
      </c>
      <c r="V9" s="163">
        <v>37</v>
      </c>
      <c r="W9" s="163">
        <v>37</v>
      </c>
      <c r="X9" s="163">
        <v>39</v>
      </c>
      <c r="Y9" s="163">
        <v>34</v>
      </c>
      <c r="Z9" s="163">
        <v>35</v>
      </c>
      <c r="AA9" s="163">
        <v>37</v>
      </c>
      <c r="AB9" s="163">
        <v>37</v>
      </c>
      <c r="AC9" s="163">
        <v>37</v>
      </c>
      <c r="AD9" s="163">
        <v>37</v>
      </c>
      <c r="AE9" s="163">
        <v>39</v>
      </c>
      <c r="AF9" s="163">
        <v>34</v>
      </c>
      <c r="AG9" s="163">
        <v>35</v>
      </c>
      <c r="AH9" s="163">
        <v>37</v>
      </c>
      <c r="AI9" s="163">
        <v>37</v>
      </c>
      <c r="AJ9" s="163">
        <v>37</v>
      </c>
      <c r="AK9" s="163">
        <v>37</v>
      </c>
      <c r="AL9" s="164">
        <v>39</v>
      </c>
    </row>
    <row r="10" spans="2:43" s="40" customFormat="1" ht="18" customHeight="1" x14ac:dyDescent="0.3">
      <c r="B10" s="56">
        <v>3</v>
      </c>
      <c r="C10" s="174">
        <v>38</v>
      </c>
      <c r="D10" s="176">
        <v>16</v>
      </c>
      <c r="E10" s="38"/>
      <c r="F10" s="386"/>
      <c r="G10" s="159" t="s">
        <v>11</v>
      </c>
      <c r="H10" s="163">
        <f t="array" ref="H10:AL10">TRANSPOSE(D8:D38)</f>
        <v>12</v>
      </c>
      <c r="I10" s="163">
        <v>16</v>
      </c>
      <c r="J10" s="163">
        <v>16</v>
      </c>
      <c r="K10" s="163">
        <v>12</v>
      </c>
      <c r="L10" s="163">
        <v>12</v>
      </c>
      <c r="M10" s="163">
        <v>16</v>
      </c>
      <c r="N10" s="163">
        <v>16</v>
      </c>
      <c r="O10" s="163">
        <v>16</v>
      </c>
      <c r="P10" s="163">
        <v>16</v>
      </c>
      <c r="Q10" s="163">
        <v>16</v>
      </c>
      <c r="R10" s="163">
        <v>12</v>
      </c>
      <c r="S10" s="163">
        <v>12</v>
      </c>
      <c r="T10" s="163">
        <v>16</v>
      </c>
      <c r="U10" s="163">
        <v>16</v>
      </c>
      <c r="V10" s="163">
        <v>16</v>
      </c>
      <c r="W10" s="163">
        <v>16</v>
      </c>
      <c r="X10" s="163">
        <v>16</v>
      </c>
      <c r="Y10" s="163">
        <v>12</v>
      </c>
      <c r="Z10" s="163">
        <v>12</v>
      </c>
      <c r="AA10" s="163">
        <v>16</v>
      </c>
      <c r="AB10" s="163">
        <v>16</v>
      </c>
      <c r="AC10" s="163">
        <v>16</v>
      </c>
      <c r="AD10" s="163">
        <v>16</v>
      </c>
      <c r="AE10" s="163">
        <v>16</v>
      </c>
      <c r="AF10" s="163">
        <v>12</v>
      </c>
      <c r="AG10" s="163">
        <v>12</v>
      </c>
      <c r="AH10" s="163">
        <v>16</v>
      </c>
      <c r="AI10" s="163">
        <v>16</v>
      </c>
      <c r="AJ10" s="163">
        <v>16</v>
      </c>
      <c r="AK10" s="163">
        <v>16</v>
      </c>
      <c r="AL10" s="164">
        <v>16</v>
      </c>
    </row>
    <row r="11" spans="2:43" s="40" customFormat="1" ht="18" customHeight="1" thickBot="1" x14ac:dyDescent="0.35">
      <c r="B11" s="56">
        <v>4</v>
      </c>
      <c r="C11" s="174">
        <v>34</v>
      </c>
      <c r="D11" s="176">
        <v>12</v>
      </c>
      <c r="E11" s="38"/>
      <c r="F11" s="387"/>
      <c r="G11" s="160" t="s">
        <v>3</v>
      </c>
      <c r="H11" s="161">
        <f>H9+H10</f>
        <v>49</v>
      </c>
      <c r="I11" s="161">
        <f t="shared" ref="I11:AL11" si="0">I9+I10</f>
        <v>51</v>
      </c>
      <c r="J11" s="161">
        <f t="shared" si="0"/>
        <v>54</v>
      </c>
      <c r="K11" s="161">
        <f t="shared" si="0"/>
        <v>46</v>
      </c>
      <c r="L11" s="161">
        <f t="shared" si="0"/>
        <v>47</v>
      </c>
      <c r="M11" s="161">
        <f t="shared" si="0"/>
        <v>53</v>
      </c>
      <c r="N11" s="161">
        <f t="shared" si="0"/>
        <v>53</v>
      </c>
      <c r="O11" s="161">
        <f t="shared" si="0"/>
        <v>53</v>
      </c>
      <c r="P11" s="161">
        <f t="shared" si="0"/>
        <v>53</v>
      </c>
      <c r="Q11" s="161">
        <f t="shared" si="0"/>
        <v>55</v>
      </c>
      <c r="R11" s="161">
        <f t="shared" si="0"/>
        <v>46</v>
      </c>
      <c r="S11" s="161">
        <f t="shared" si="0"/>
        <v>47</v>
      </c>
      <c r="T11" s="161">
        <f t="shared" si="0"/>
        <v>56</v>
      </c>
      <c r="U11" s="161">
        <f t="shared" si="0"/>
        <v>53</v>
      </c>
      <c r="V11" s="161">
        <f t="shared" si="0"/>
        <v>53</v>
      </c>
      <c r="W11" s="161">
        <f t="shared" si="0"/>
        <v>53</v>
      </c>
      <c r="X11" s="161">
        <f t="shared" si="0"/>
        <v>55</v>
      </c>
      <c r="Y11" s="161">
        <f t="shared" si="0"/>
        <v>46</v>
      </c>
      <c r="Z11" s="161">
        <f t="shared" si="0"/>
        <v>47</v>
      </c>
      <c r="AA11" s="161">
        <f t="shared" si="0"/>
        <v>53</v>
      </c>
      <c r="AB11" s="161">
        <f t="shared" si="0"/>
        <v>53</v>
      </c>
      <c r="AC11" s="161">
        <f t="shared" si="0"/>
        <v>53</v>
      </c>
      <c r="AD11" s="161">
        <f t="shared" si="0"/>
        <v>53</v>
      </c>
      <c r="AE11" s="161">
        <f t="shared" si="0"/>
        <v>55</v>
      </c>
      <c r="AF11" s="161">
        <f t="shared" si="0"/>
        <v>46</v>
      </c>
      <c r="AG11" s="161">
        <f t="shared" si="0"/>
        <v>47</v>
      </c>
      <c r="AH11" s="161">
        <f t="shared" si="0"/>
        <v>53</v>
      </c>
      <c r="AI11" s="161">
        <f t="shared" si="0"/>
        <v>53</v>
      </c>
      <c r="AJ11" s="161">
        <f t="shared" si="0"/>
        <v>53</v>
      </c>
      <c r="AK11" s="161">
        <f t="shared" si="0"/>
        <v>53</v>
      </c>
      <c r="AL11" s="162">
        <f t="shared" si="0"/>
        <v>55</v>
      </c>
    </row>
    <row r="12" spans="2:43" s="40" customFormat="1" ht="18" customHeight="1" x14ac:dyDescent="0.3">
      <c r="B12" s="56">
        <v>5</v>
      </c>
      <c r="C12" s="174">
        <v>35</v>
      </c>
      <c r="D12" s="176">
        <v>12</v>
      </c>
      <c r="E12" s="38"/>
      <c r="F12" s="46"/>
      <c r="G12" s="46"/>
      <c r="H12" s="46"/>
      <c r="I12" s="46"/>
      <c r="J12" s="46"/>
      <c r="K12" s="46"/>
      <c r="L12" s="46"/>
      <c r="M12" s="46"/>
      <c r="N12" s="46"/>
      <c r="O12" s="46"/>
      <c r="P12" s="46"/>
      <c r="Q12" s="46"/>
      <c r="R12" s="46"/>
      <c r="S12" s="46"/>
      <c r="T12" s="46"/>
      <c r="U12" s="46"/>
      <c r="V12" s="46"/>
      <c r="W12" s="46"/>
      <c r="X12" s="46"/>
      <c r="Y12" s="46"/>
      <c r="Z12" s="46"/>
      <c r="AA12" s="46"/>
      <c r="AB12" s="46"/>
      <c r="AC12" s="46"/>
      <c r="AD12" s="46"/>
      <c r="AE12" s="46"/>
      <c r="AF12" s="46"/>
      <c r="AG12" s="46"/>
      <c r="AH12" s="46"/>
      <c r="AI12" s="46"/>
      <c r="AJ12" s="46"/>
      <c r="AK12" s="46"/>
      <c r="AL12" s="46"/>
    </row>
    <row r="13" spans="2:43" s="40" customFormat="1" ht="18" customHeight="1" x14ac:dyDescent="0.3">
      <c r="B13" s="56">
        <v>6</v>
      </c>
      <c r="C13" s="174">
        <v>37</v>
      </c>
      <c r="D13" s="176">
        <v>16</v>
      </c>
      <c r="E13" s="38"/>
      <c r="F13" s="38"/>
      <c r="G13" s="38"/>
      <c r="H13" s="38"/>
      <c r="I13" s="38"/>
      <c r="J13" s="38"/>
      <c r="K13" s="38"/>
      <c r="L13" s="38"/>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row>
    <row r="14" spans="2:43" s="40" customFormat="1" ht="18" customHeight="1" x14ac:dyDescent="0.3">
      <c r="B14" s="56">
        <v>7</v>
      </c>
      <c r="C14" s="174">
        <v>37</v>
      </c>
      <c r="D14" s="176">
        <v>16</v>
      </c>
      <c r="E14" s="38"/>
      <c r="F14" s="38"/>
      <c r="G14" s="38"/>
      <c r="H14" s="38"/>
      <c r="I14" s="38"/>
      <c r="J14" s="38"/>
      <c r="K14" s="38"/>
      <c r="L14" s="38"/>
      <c r="M14" s="38"/>
      <c r="N14" s="38"/>
      <c r="O14" s="38"/>
      <c r="P14" s="38"/>
      <c r="Q14" s="38"/>
      <c r="R14" s="38"/>
      <c r="S14" s="38"/>
      <c r="T14" s="38"/>
      <c r="U14" s="38"/>
      <c r="V14" s="38"/>
      <c r="W14" s="38"/>
      <c r="X14" s="38"/>
      <c r="Y14" s="38"/>
      <c r="Z14" s="38"/>
      <c r="AA14" s="38"/>
      <c r="AB14" s="38"/>
      <c r="AC14" s="38"/>
      <c r="AD14" s="38"/>
      <c r="AE14" s="38"/>
      <c r="AF14" s="38"/>
      <c r="AG14" s="38"/>
      <c r="AH14" s="38"/>
      <c r="AI14" s="38"/>
      <c r="AJ14" s="38"/>
      <c r="AK14" s="38"/>
      <c r="AL14" s="38"/>
      <c r="AM14" s="38"/>
      <c r="AN14" s="38"/>
      <c r="AO14" s="38"/>
      <c r="AP14" s="38"/>
      <c r="AQ14" s="38"/>
    </row>
    <row r="15" spans="2:43" s="40" customFormat="1" ht="18" customHeight="1" x14ac:dyDescent="0.3">
      <c r="B15" s="56">
        <v>8</v>
      </c>
      <c r="C15" s="174">
        <v>37</v>
      </c>
      <c r="D15" s="176">
        <v>16</v>
      </c>
      <c r="E15" s="38"/>
      <c r="F15" s="38"/>
      <c r="G15" s="38"/>
      <c r="H15" s="38"/>
      <c r="I15" s="38"/>
      <c r="J15" s="38"/>
      <c r="K15" s="38"/>
      <c r="L15" s="38"/>
      <c r="M15" s="38"/>
      <c r="N15" s="38"/>
      <c r="O15" s="38"/>
      <c r="P15" s="38"/>
      <c r="Q15" s="38"/>
      <c r="R15" s="38"/>
      <c r="S15" s="38"/>
      <c r="T15" s="38"/>
      <c r="U15" s="38"/>
      <c r="V15" s="38"/>
      <c r="W15" s="38"/>
      <c r="X15" s="38"/>
      <c r="Y15" s="38"/>
      <c r="Z15" s="38"/>
      <c r="AA15" s="38"/>
      <c r="AB15" s="38"/>
      <c r="AC15" s="38"/>
      <c r="AD15" s="38"/>
      <c r="AE15" s="38"/>
      <c r="AF15" s="38"/>
      <c r="AG15" s="38"/>
      <c r="AH15" s="38"/>
      <c r="AI15" s="38"/>
      <c r="AJ15" s="38"/>
      <c r="AK15" s="38"/>
      <c r="AL15" s="38"/>
      <c r="AM15" s="38"/>
      <c r="AN15" s="38"/>
      <c r="AO15" s="38"/>
      <c r="AP15" s="38"/>
      <c r="AQ15" s="38"/>
    </row>
    <row r="16" spans="2:43" s="40" customFormat="1" ht="18" customHeight="1" x14ac:dyDescent="0.3">
      <c r="B16" s="56">
        <v>9</v>
      </c>
      <c r="C16" s="174">
        <v>37</v>
      </c>
      <c r="D16" s="176">
        <v>16</v>
      </c>
      <c r="E16" s="38"/>
      <c r="F16" s="38"/>
      <c r="G16" s="38"/>
      <c r="H16" s="38"/>
      <c r="I16" s="38"/>
      <c r="J16" s="38"/>
      <c r="K16" s="38"/>
      <c r="L16" s="38"/>
      <c r="M16" s="38"/>
      <c r="N16" s="38"/>
      <c r="O16" s="38"/>
      <c r="P16" s="38"/>
      <c r="Q16" s="38"/>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row>
    <row r="17" spans="2:43" s="40" customFormat="1" ht="18" customHeight="1" x14ac:dyDescent="0.3">
      <c r="B17" s="56">
        <v>10</v>
      </c>
      <c r="C17" s="174">
        <v>39</v>
      </c>
      <c r="D17" s="176">
        <v>16</v>
      </c>
      <c r="E17" s="38"/>
      <c r="F17" s="38"/>
      <c r="G17" s="38"/>
      <c r="H17" s="38"/>
      <c r="I17" s="38"/>
      <c r="J17" s="38"/>
      <c r="K17" s="38"/>
      <c r="L17" s="38"/>
      <c r="M17" s="38"/>
      <c r="N17" s="38"/>
      <c r="O17" s="38"/>
      <c r="P17" s="38"/>
      <c r="Q17" s="38"/>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row>
    <row r="18" spans="2:43" s="40" customFormat="1" ht="18" customHeight="1" x14ac:dyDescent="0.3">
      <c r="B18" s="56">
        <v>11</v>
      </c>
      <c r="C18" s="174">
        <v>34</v>
      </c>
      <c r="D18" s="176">
        <v>12</v>
      </c>
      <c r="E18" s="38"/>
      <c r="F18" s="38"/>
      <c r="G18" s="38"/>
      <c r="H18" s="38"/>
      <c r="I18" s="38"/>
      <c r="J18" s="38"/>
      <c r="K18" s="38"/>
      <c r="L18" s="38"/>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row>
    <row r="19" spans="2:43" s="40" customFormat="1" ht="18" customHeight="1" x14ac:dyDescent="0.3">
      <c r="B19" s="56">
        <v>12</v>
      </c>
      <c r="C19" s="174">
        <v>35</v>
      </c>
      <c r="D19" s="176">
        <v>12</v>
      </c>
      <c r="E19" s="53"/>
      <c r="F19" s="38"/>
      <c r="G19" s="38"/>
      <c r="H19" s="38"/>
      <c r="I19" s="38"/>
      <c r="J19" s="38"/>
      <c r="K19" s="38"/>
      <c r="L19" s="38"/>
      <c r="M19" s="38"/>
      <c r="N19" s="38"/>
      <c r="O19" s="38"/>
      <c r="P19" s="38"/>
      <c r="Q19" s="38"/>
      <c r="R19" s="38"/>
      <c r="S19" s="38"/>
      <c r="T19" s="38"/>
      <c r="U19" s="38"/>
      <c r="V19" s="38"/>
      <c r="W19" s="38"/>
      <c r="X19" s="38"/>
      <c r="Y19" s="38"/>
      <c r="Z19" s="38"/>
      <c r="AA19" s="38"/>
      <c r="AB19" s="38"/>
      <c r="AC19" s="38"/>
      <c r="AD19" s="38"/>
      <c r="AE19" s="38"/>
      <c r="AF19" s="38"/>
      <c r="AG19" s="38"/>
      <c r="AH19" s="38"/>
      <c r="AI19" s="38"/>
      <c r="AJ19" s="38"/>
      <c r="AK19" s="38"/>
      <c r="AL19" s="38"/>
      <c r="AM19" s="38"/>
      <c r="AN19" s="38"/>
    </row>
    <row r="20" spans="2:43" s="40" customFormat="1" ht="18" customHeight="1" x14ac:dyDescent="0.3">
      <c r="B20" s="56">
        <v>13</v>
      </c>
      <c r="C20" s="174">
        <v>40</v>
      </c>
      <c r="D20" s="176">
        <v>16</v>
      </c>
      <c r="E20" s="53"/>
      <c r="F20" s="38"/>
      <c r="G20" s="38"/>
      <c r="H20" s="38"/>
      <c r="I20" s="38"/>
      <c r="J20" s="38"/>
      <c r="K20" s="38"/>
      <c r="L20" s="38"/>
      <c r="M20" s="38"/>
      <c r="N20" s="38"/>
      <c r="O20" s="38"/>
      <c r="P20" s="38"/>
      <c r="Q20" s="38"/>
      <c r="R20" s="38"/>
      <c r="S20" s="38"/>
      <c r="T20" s="38"/>
      <c r="U20" s="38"/>
      <c r="V20" s="38"/>
      <c r="W20" s="38"/>
      <c r="X20" s="38"/>
      <c r="Y20" s="38"/>
      <c r="Z20" s="38"/>
      <c r="AA20" s="38"/>
      <c r="AB20" s="38"/>
      <c r="AC20" s="38"/>
      <c r="AD20" s="38"/>
      <c r="AE20" s="38"/>
      <c r="AF20" s="38"/>
      <c r="AG20" s="38"/>
      <c r="AH20" s="38"/>
      <c r="AI20" s="38"/>
      <c r="AJ20" s="38"/>
      <c r="AK20" s="38"/>
      <c r="AL20" s="38"/>
      <c r="AM20" s="38"/>
      <c r="AN20" s="38"/>
    </row>
    <row r="21" spans="2:43" s="40" customFormat="1" ht="18" customHeight="1" x14ac:dyDescent="0.3">
      <c r="B21" s="56">
        <v>14</v>
      </c>
      <c r="C21" s="174">
        <v>37</v>
      </c>
      <c r="D21" s="176">
        <v>16</v>
      </c>
      <c r="E21" s="53"/>
      <c r="F21" s="38"/>
      <c r="G21" s="38"/>
      <c r="H21" s="38"/>
      <c r="I21" s="38"/>
      <c r="J21" s="38"/>
      <c r="K21" s="38"/>
      <c r="L21" s="38"/>
      <c r="M21" s="38"/>
      <c r="N21" s="38"/>
      <c r="O21" s="38"/>
      <c r="P21" s="38"/>
      <c r="Q21" s="38"/>
      <c r="R21" s="38"/>
      <c r="S21" s="38"/>
      <c r="T21" s="38"/>
      <c r="U21" s="38"/>
      <c r="V21" s="38"/>
      <c r="W21" s="38"/>
      <c r="X21" s="38"/>
      <c r="Y21" s="38"/>
      <c r="Z21" s="38"/>
      <c r="AA21" s="38"/>
      <c r="AB21" s="38"/>
      <c r="AC21" s="38"/>
      <c r="AD21" s="38"/>
      <c r="AE21" s="38"/>
      <c r="AF21" s="38"/>
      <c r="AG21" s="38"/>
      <c r="AH21" s="38"/>
      <c r="AI21" s="38"/>
      <c r="AJ21" s="38"/>
      <c r="AK21" s="38"/>
      <c r="AL21" s="38"/>
      <c r="AM21" s="38"/>
      <c r="AN21" s="38"/>
    </row>
    <row r="22" spans="2:43" s="40" customFormat="1" ht="18" customHeight="1" x14ac:dyDescent="0.3">
      <c r="B22" s="56">
        <v>15</v>
      </c>
      <c r="C22" s="174">
        <v>37</v>
      </c>
      <c r="D22" s="176">
        <v>16</v>
      </c>
      <c r="E22" s="53"/>
      <c r="F22" s="38"/>
      <c r="G22" s="38"/>
      <c r="H22" s="38"/>
      <c r="I22" s="38"/>
      <c r="J22" s="38"/>
      <c r="K22" s="38"/>
      <c r="L22" s="38"/>
      <c r="M22" s="38"/>
      <c r="N22" s="38"/>
      <c r="O22" s="38"/>
      <c r="P22" s="38"/>
      <c r="Q22" s="38"/>
      <c r="R22" s="38"/>
      <c r="S22" s="38"/>
      <c r="T22" s="38"/>
      <c r="U22" s="38"/>
      <c r="V22" s="38"/>
      <c r="W22" s="38"/>
      <c r="X22" s="38"/>
      <c r="Y22" s="38"/>
      <c r="Z22" s="38"/>
      <c r="AA22" s="38"/>
      <c r="AB22" s="38"/>
      <c r="AC22" s="38"/>
      <c r="AD22" s="38"/>
      <c r="AE22" s="38"/>
      <c r="AF22" s="38"/>
      <c r="AG22" s="38"/>
      <c r="AH22" s="38"/>
      <c r="AI22" s="38"/>
      <c r="AJ22" s="38"/>
      <c r="AK22" s="38"/>
      <c r="AL22" s="38"/>
      <c r="AM22" s="38"/>
      <c r="AN22" s="38"/>
    </row>
    <row r="23" spans="2:43" s="40" customFormat="1" ht="18" customHeight="1" x14ac:dyDescent="0.3">
      <c r="B23" s="56">
        <v>16</v>
      </c>
      <c r="C23" s="174">
        <v>37</v>
      </c>
      <c r="D23" s="176">
        <v>16</v>
      </c>
      <c r="E23" s="53"/>
      <c r="F23" s="38"/>
      <c r="G23" s="38"/>
      <c r="H23" s="38"/>
      <c r="I23" s="38"/>
      <c r="J23" s="38"/>
      <c r="K23" s="38"/>
      <c r="L23" s="38"/>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row>
    <row r="24" spans="2:43" s="40" customFormat="1" ht="18" customHeight="1" x14ac:dyDescent="0.3">
      <c r="B24" s="56">
        <v>17</v>
      </c>
      <c r="C24" s="174">
        <v>39</v>
      </c>
      <c r="D24" s="176">
        <v>16</v>
      </c>
      <c r="E24" s="53"/>
      <c r="F24" s="38"/>
      <c r="G24" s="38"/>
      <c r="H24" s="38"/>
      <c r="I24" s="38"/>
      <c r="J24" s="38"/>
      <c r="K24" s="38"/>
      <c r="L24" s="38"/>
      <c r="M24" s="38"/>
      <c r="N24" s="38"/>
      <c r="O24" s="38"/>
      <c r="P24" s="38"/>
      <c r="Q24" s="38"/>
      <c r="R24" s="38"/>
      <c r="S24" s="38"/>
      <c r="T24" s="38"/>
      <c r="U24" s="38"/>
      <c r="V24" s="38"/>
      <c r="W24" s="38"/>
      <c r="X24" s="38"/>
      <c r="Y24" s="38"/>
      <c r="Z24" s="38"/>
      <c r="AA24" s="38"/>
      <c r="AB24" s="38"/>
      <c r="AC24" s="38"/>
      <c r="AD24" s="38"/>
      <c r="AE24" s="38"/>
      <c r="AF24" s="38"/>
      <c r="AG24" s="38"/>
      <c r="AH24" s="38"/>
      <c r="AI24" s="38"/>
      <c r="AJ24" s="38"/>
      <c r="AK24" s="38"/>
      <c r="AL24" s="38"/>
      <c r="AM24" s="38"/>
      <c r="AN24" s="38"/>
    </row>
    <row r="25" spans="2:43" s="40" customFormat="1" ht="18" customHeight="1" x14ac:dyDescent="0.3">
      <c r="B25" s="56">
        <v>18</v>
      </c>
      <c r="C25" s="174">
        <v>34</v>
      </c>
      <c r="D25" s="176">
        <v>12</v>
      </c>
      <c r="E25" s="53"/>
      <c r="F25" s="38"/>
      <c r="G25" s="38"/>
      <c r="H25" s="38"/>
      <c r="I25" s="38"/>
      <c r="J25" s="38"/>
      <c r="K25" s="38"/>
      <c r="L25" s="38"/>
      <c r="M25" s="38"/>
      <c r="N25" s="38"/>
      <c r="O25" s="38"/>
      <c r="P25" s="38"/>
      <c r="Q25" s="38"/>
      <c r="R25" s="38"/>
      <c r="S25" s="38"/>
      <c r="T25" s="38"/>
      <c r="U25" s="38"/>
      <c r="V25" s="38"/>
      <c r="W25" s="38"/>
      <c r="X25" s="38"/>
      <c r="Y25" s="38"/>
      <c r="Z25" s="38"/>
      <c r="AA25" s="38"/>
      <c r="AB25" s="38"/>
      <c r="AC25" s="38"/>
      <c r="AD25" s="38"/>
      <c r="AE25" s="38"/>
      <c r="AF25" s="38"/>
      <c r="AG25" s="38"/>
      <c r="AH25" s="38"/>
      <c r="AI25" s="38"/>
      <c r="AJ25" s="38"/>
      <c r="AK25" s="38"/>
      <c r="AL25" s="38"/>
      <c r="AM25" s="38"/>
      <c r="AN25" s="38"/>
    </row>
    <row r="26" spans="2:43" s="40" customFormat="1" ht="18" customHeight="1" x14ac:dyDescent="0.3">
      <c r="B26" s="56">
        <v>19</v>
      </c>
      <c r="C26" s="174">
        <v>35</v>
      </c>
      <c r="D26" s="176">
        <v>12</v>
      </c>
      <c r="E26" s="53"/>
      <c r="F26" s="38"/>
      <c r="G26" s="38"/>
      <c r="H26" s="38"/>
      <c r="I26" s="38"/>
      <c r="J26" s="38"/>
      <c r="K26" s="38"/>
      <c r="L26" s="38"/>
      <c r="M26" s="38"/>
      <c r="N26" s="38"/>
      <c r="O26" s="38"/>
      <c r="P26" s="38"/>
      <c r="Q26" s="38"/>
      <c r="R26" s="38"/>
      <c r="S26" s="38"/>
      <c r="T26" s="38"/>
      <c r="U26" s="38"/>
      <c r="V26" s="38"/>
      <c r="W26" s="38"/>
      <c r="X26" s="38"/>
      <c r="Y26" s="38"/>
      <c r="Z26" s="38"/>
      <c r="AA26" s="38"/>
      <c r="AB26" s="38"/>
      <c r="AC26" s="38"/>
      <c r="AD26" s="38"/>
      <c r="AE26" s="38"/>
      <c r="AF26" s="38"/>
      <c r="AG26" s="38"/>
      <c r="AH26" s="38"/>
      <c r="AI26" s="38"/>
      <c r="AJ26" s="38"/>
      <c r="AK26" s="38"/>
      <c r="AL26" s="38"/>
      <c r="AM26" s="38"/>
      <c r="AN26" s="38"/>
    </row>
    <row r="27" spans="2:43" s="40" customFormat="1" ht="18" customHeight="1" x14ac:dyDescent="0.3">
      <c r="B27" s="56">
        <v>20</v>
      </c>
      <c r="C27" s="174">
        <v>37</v>
      </c>
      <c r="D27" s="176">
        <v>16</v>
      </c>
      <c r="E27" s="53"/>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c r="AK27" s="38"/>
      <c r="AL27" s="38"/>
      <c r="AM27" s="38"/>
      <c r="AN27" s="38"/>
    </row>
    <row r="28" spans="2:43" s="40" customFormat="1" ht="18" customHeight="1" x14ac:dyDescent="0.3">
      <c r="B28" s="56">
        <v>21</v>
      </c>
      <c r="C28" s="174">
        <v>37</v>
      </c>
      <c r="D28" s="176">
        <v>16</v>
      </c>
      <c r="E28" s="53"/>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row>
    <row r="29" spans="2:43" s="40" customFormat="1" ht="18" customHeight="1" x14ac:dyDescent="0.3">
      <c r="B29" s="56">
        <v>22</v>
      </c>
      <c r="C29" s="174">
        <v>37</v>
      </c>
      <c r="D29" s="176">
        <v>16</v>
      </c>
      <c r="E29" s="53"/>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c r="AK29" s="38"/>
      <c r="AL29" s="38"/>
      <c r="AM29" s="38"/>
      <c r="AN29" s="38"/>
    </row>
    <row r="30" spans="2:43" s="40" customFormat="1" ht="18" customHeight="1" x14ac:dyDescent="0.3">
      <c r="B30" s="56">
        <v>23</v>
      </c>
      <c r="C30" s="174">
        <v>37</v>
      </c>
      <c r="D30" s="176">
        <v>16</v>
      </c>
      <c r="E30" s="53"/>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c r="AK30" s="38"/>
      <c r="AL30" s="38"/>
      <c r="AM30" s="38"/>
      <c r="AN30" s="38"/>
    </row>
    <row r="31" spans="2:43" s="40" customFormat="1" ht="18" customHeight="1" x14ac:dyDescent="0.3">
      <c r="B31" s="56">
        <v>24</v>
      </c>
      <c r="C31" s="174">
        <v>39</v>
      </c>
      <c r="D31" s="176">
        <v>16</v>
      </c>
      <c r="E31" s="53"/>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c r="AK31" s="38"/>
      <c r="AL31" s="38"/>
      <c r="AM31" s="38"/>
      <c r="AN31" s="38"/>
    </row>
    <row r="32" spans="2:43" s="40" customFormat="1" ht="18" customHeight="1" x14ac:dyDescent="0.3">
      <c r="B32" s="56">
        <v>25</v>
      </c>
      <c r="C32" s="174">
        <v>34</v>
      </c>
      <c r="D32" s="176">
        <v>12</v>
      </c>
      <c r="E32" s="53"/>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c r="AK32" s="38"/>
      <c r="AL32" s="38"/>
      <c r="AM32" s="38"/>
      <c r="AN32" s="38"/>
    </row>
    <row r="33" spans="2:41" s="40" customFormat="1" ht="18" customHeight="1" x14ac:dyDescent="0.3">
      <c r="B33" s="56">
        <v>26</v>
      </c>
      <c r="C33" s="174">
        <v>35</v>
      </c>
      <c r="D33" s="176">
        <v>12</v>
      </c>
      <c r="E33" s="53"/>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row>
    <row r="34" spans="2:41" s="40" customFormat="1" ht="18" customHeight="1" x14ac:dyDescent="0.3">
      <c r="B34" s="56">
        <v>27</v>
      </c>
      <c r="C34" s="174">
        <v>37</v>
      </c>
      <c r="D34" s="176">
        <v>16</v>
      </c>
      <c r="E34" s="53"/>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c r="AK34" s="38"/>
      <c r="AL34" s="38"/>
      <c r="AM34" s="38"/>
      <c r="AN34" s="38"/>
    </row>
    <row r="35" spans="2:41" s="40" customFormat="1" ht="18" customHeight="1" x14ac:dyDescent="0.3">
      <c r="B35" s="56">
        <v>28</v>
      </c>
      <c r="C35" s="174">
        <v>37</v>
      </c>
      <c r="D35" s="176">
        <v>16</v>
      </c>
      <c r="E35" s="53"/>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c r="AL35" s="38"/>
      <c r="AM35" s="38"/>
      <c r="AN35" s="38"/>
    </row>
    <row r="36" spans="2:41" s="40" customFormat="1" ht="18" customHeight="1" x14ac:dyDescent="0.3">
      <c r="B36" s="56">
        <v>29</v>
      </c>
      <c r="C36" s="174">
        <v>37</v>
      </c>
      <c r="D36" s="176">
        <v>16</v>
      </c>
      <c r="E36" s="53"/>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row>
    <row r="37" spans="2:41" s="40" customFormat="1" ht="18" customHeight="1" x14ac:dyDescent="0.3">
      <c r="B37" s="56">
        <v>30</v>
      </c>
      <c r="C37" s="174">
        <v>37</v>
      </c>
      <c r="D37" s="176">
        <v>16</v>
      </c>
      <c r="E37" s="53"/>
      <c r="F37" s="38"/>
      <c r="G37" s="38"/>
      <c r="H37" s="38"/>
      <c r="I37" s="38"/>
      <c r="J37" s="38"/>
      <c r="K37" s="38"/>
      <c r="L37" s="38"/>
      <c r="M37" s="38"/>
      <c r="N37" s="38"/>
      <c r="O37" s="38"/>
      <c r="P37" s="38"/>
      <c r="Q37" s="38"/>
      <c r="R37" s="38"/>
      <c r="S37" s="38"/>
      <c r="T37" s="38"/>
      <c r="U37" s="38"/>
      <c r="V37" s="38"/>
      <c r="W37" s="38"/>
      <c r="X37" s="38"/>
      <c r="Y37" s="38"/>
      <c r="Z37" s="38"/>
      <c r="AA37" s="38"/>
      <c r="AB37" s="38"/>
      <c r="AC37" s="38"/>
      <c r="AD37" s="38"/>
      <c r="AE37" s="38"/>
      <c r="AF37" s="38"/>
      <c r="AG37" s="38"/>
      <c r="AH37" s="38"/>
      <c r="AI37" s="38"/>
      <c r="AJ37" s="38"/>
      <c r="AK37" s="38"/>
      <c r="AL37" s="38"/>
      <c r="AM37" s="38"/>
      <c r="AN37" s="38"/>
    </row>
    <row r="38" spans="2:41" s="40" customFormat="1" ht="18" customHeight="1" thickBot="1" x14ac:dyDescent="0.35">
      <c r="B38" s="89">
        <v>31</v>
      </c>
      <c r="C38" s="180">
        <v>39</v>
      </c>
      <c r="D38" s="91">
        <v>16</v>
      </c>
      <c r="E38" s="53"/>
      <c r="F38" s="38"/>
      <c r="G38" s="38"/>
      <c r="H38" s="38"/>
      <c r="I38" s="38"/>
      <c r="J38" s="38"/>
      <c r="K38" s="38"/>
      <c r="L38" s="38"/>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row>
    <row r="39" spans="2:41" s="40" customFormat="1" ht="23.25" customHeight="1" thickBot="1" x14ac:dyDescent="0.3">
      <c r="B39" s="92" t="s">
        <v>3</v>
      </c>
      <c r="C39" s="94">
        <f>SUM(C8:C38)</f>
        <v>1137</v>
      </c>
      <c r="D39" s="94">
        <f>SUM(D8:D38)</f>
        <v>460</v>
      </c>
      <c r="E39" s="53"/>
      <c r="F39" s="38"/>
      <c r="G39" s="38"/>
      <c r="H39" s="38"/>
      <c r="I39" s="38"/>
      <c r="J39" s="38"/>
      <c r="K39" s="38"/>
      <c r="L39" s="38"/>
      <c r="M39" s="38"/>
      <c r="N39" s="38"/>
      <c r="O39" s="38"/>
      <c r="P39" s="38"/>
      <c r="Q39" s="38"/>
      <c r="R39" s="38"/>
      <c r="S39" s="38"/>
      <c r="T39" s="38"/>
      <c r="U39" s="38"/>
      <c r="V39" s="38"/>
      <c r="W39" s="38"/>
      <c r="X39" s="38"/>
      <c r="Y39" s="38"/>
      <c r="Z39" s="38"/>
      <c r="AA39" s="38"/>
      <c r="AB39" s="38"/>
      <c r="AC39" s="38"/>
      <c r="AD39" s="38"/>
      <c r="AE39" s="38"/>
      <c r="AF39" s="38"/>
      <c r="AG39" s="38"/>
      <c r="AH39" s="38"/>
      <c r="AI39" s="38"/>
      <c r="AJ39" s="38"/>
      <c r="AK39" s="38"/>
      <c r="AL39" s="38"/>
      <c r="AM39" s="38"/>
      <c r="AN39" s="38"/>
    </row>
    <row r="40" spans="2:41" s="40" customFormat="1" ht="23.25" customHeight="1" x14ac:dyDescent="0.25">
      <c r="B40" s="37"/>
      <c r="C40" s="38"/>
      <c r="D40" s="38"/>
      <c r="E40" s="38"/>
      <c r="F40" s="38"/>
      <c r="G40" s="38"/>
      <c r="H40" s="38"/>
      <c r="I40" s="38"/>
      <c r="J40" s="38"/>
      <c r="K40" s="38"/>
      <c r="L40" s="38"/>
      <c r="M40" s="38"/>
      <c r="N40" s="38"/>
      <c r="O40" s="38"/>
      <c r="P40" s="38"/>
      <c r="Q40" s="38"/>
      <c r="R40" s="38"/>
      <c r="S40" s="38"/>
      <c r="T40" s="38"/>
      <c r="U40" s="38"/>
      <c r="V40" s="38"/>
      <c r="W40" s="38"/>
      <c r="X40" s="38"/>
      <c r="Y40" s="38"/>
      <c r="Z40" s="38"/>
      <c r="AA40" s="38"/>
      <c r="AB40" s="38"/>
      <c r="AC40" s="38"/>
      <c r="AD40" s="38"/>
      <c r="AE40" s="38"/>
      <c r="AF40" s="38"/>
      <c r="AG40" s="38"/>
      <c r="AH40" s="38"/>
      <c r="AI40" s="38"/>
      <c r="AJ40" s="38"/>
      <c r="AK40" s="38"/>
      <c r="AL40" s="38"/>
      <c r="AM40" s="38"/>
      <c r="AN40" s="38"/>
      <c r="AO40" s="38"/>
    </row>
    <row r="41" spans="2:41" s="40" customFormat="1" ht="23.25" customHeight="1" x14ac:dyDescent="0.25">
      <c r="B41" s="37"/>
      <c r="C41" s="38"/>
      <c r="D41" s="38"/>
      <c r="E41" s="38"/>
      <c r="F41" s="38"/>
      <c r="G41" s="38"/>
      <c r="H41" s="38"/>
      <c r="I41" s="38"/>
      <c r="J41" s="38"/>
      <c r="K41" s="38"/>
      <c r="L41" s="38"/>
      <c r="M41" s="38"/>
      <c r="N41" s="38"/>
      <c r="O41" s="38"/>
      <c r="P41" s="38"/>
      <c r="Q41" s="38"/>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row>
    <row r="42" spans="2:41" ht="17.399999999999999" x14ac:dyDescent="0.25">
      <c r="F42" s="40"/>
      <c r="G42" s="40"/>
    </row>
  </sheetData>
  <mergeCells count="9">
    <mergeCell ref="B3:D3"/>
    <mergeCell ref="F3:AL4"/>
    <mergeCell ref="B4:D4"/>
    <mergeCell ref="B5:B7"/>
    <mergeCell ref="C5:D5"/>
    <mergeCell ref="F5:AL6"/>
    <mergeCell ref="C6:D6"/>
    <mergeCell ref="F7:F11"/>
    <mergeCell ref="H7:AL7"/>
  </mergeCells>
  <pageMargins left="0.75" right="0.75" top="1" bottom="1" header="0" footer="0"/>
  <pageSetup paperSize="9" scale="26" orientation="landscape" horizontalDpi="300" verticalDpi="300"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CA41A-3375-42E7-BAFD-CAB627EEFFED}">
  <sheetPr codeName="Hoja29">
    <pageSetUpPr fitToPage="1"/>
  </sheetPr>
  <dimension ref="B1:BA37"/>
  <sheetViews>
    <sheetView showGridLines="0" zoomScale="110" zoomScaleNormal="110" workbookViewId="0">
      <selection activeCell="P20" sqref="P20:AF26"/>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t="s">
        <v>93</v>
      </c>
      <c r="AD2" s="332"/>
      <c r="AE2" s="332"/>
      <c r="AF2" s="332"/>
      <c r="AG2" s="332"/>
      <c r="AH2" s="333"/>
      <c r="AI2" s="40"/>
      <c r="AJ2" s="40"/>
    </row>
    <row r="3" spans="2:53" ht="23.25" customHeight="1" x14ac:dyDescent="0.25">
      <c r="B3" s="323" t="s">
        <v>93</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42</v>
      </c>
      <c r="E5" s="247">
        <v>45</v>
      </c>
      <c r="F5" s="247">
        <v>39</v>
      </c>
      <c r="G5" s="247">
        <v>44</v>
      </c>
      <c r="H5" s="247">
        <v>48</v>
      </c>
      <c r="I5" s="247">
        <v>48</v>
      </c>
      <c r="J5" s="247">
        <v>44</v>
      </c>
      <c r="K5" s="247">
        <v>42</v>
      </c>
      <c r="L5" s="247">
        <v>45</v>
      </c>
      <c r="M5" s="247">
        <v>39</v>
      </c>
      <c r="N5" s="247">
        <v>44</v>
      </c>
      <c r="O5" s="247">
        <v>42</v>
      </c>
      <c r="P5" s="247">
        <v>42</v>
      </c>
      <c r="Q5" s="247">
        <v>45</v>
      </c>
      <c r="R5" s="247">
        <v>40</v>
      </c>
      <c r="S5" s="247">
        <v>42</v>
      </c>
      <c r="T5" s="247">
        <v>39</v>
      </c>
      <c r="U5" s="247">
        <v>44</v>
      </c>
      <c r="V5" s="247">
        <v>42</v>
      </c>
      <c r="W5" s="247">
        <v>42</v>
      </c>
      <c r="X5" s="247">
        <v>42</v>
      </c>
      <c r="Y5" s="247">
        <v>42</v>
      </c>
      <c r="Z5" s="247">
        <v>45</v>
      </c>
      <c r="AA5" s="247">
        <v>39</v>
      </c>
      <c r="AB5" s="247">
        <v>44</v>
      </c>
      <c r="AC5" s="247">
        <v>42</v>
      </c>
      <c r="AD5" s="247">
        <v>42</v>
      </c>
      <c r="AE5" s="247">
        <v>42</v>
      </c>
      <c r="AF5" s="247">
        <v>42</v>
      </c>
      <c r="AG5" s="247">
        <v>45</v>
      </c>
      <c r="AH5" s="248">
        <v>39</v>
      </c>
    </row>
    <row r="6" spans="2:53" s="40" customFormat="1" ht="18" customHeight="1" x14ac:dyDescent="0.3">
      <c r="B6" s="324"/>
      <c r="C6" s="239" t="s">
        <v>11</v>
      </c>
      <c r="D6" s="163">
        <v>16</v>
      </c>
      <c r="E6" s="163">
        <v>16</v>
      </c>
      <c r="F6" s="163">
        <v>12</v>
      </c>
      <c r="G6" s="163">
        <v>12</v>
      </c>
      <c r="H6" s="163">
        <v>16</v>
      </c>
      <c r="I6" s="163">
        <v>16</v>
      </c>
      <c r="J6" s="163">
        <v>16</v>
      </c>
      <c r="K6" s="163">
        <v>16</v>
      </c>
      <c r="L6" s="163">
        <v>16</v>
      </c>
      <c r="M6" s="163">
        <v>12</v>
      </c>
      <c r="N6" s="163">
        <v>12</v>
      </c>
      <c r="O6" s="163">
        <v>16</v>
      </c>
      <c r="P6" s="163">
        <v>16</v>
      </c>
      <c r="Q6" s="163">
        <v>16</v>
      </c>
      <c r="R6" s="163">
        <v>12</v>
      </c>
      <c r="S6" s="163">
        <v>16</v>
      </c>
      <c r="T6" s="163">
        <v>12</v>
      </c>
      <c r="U6" s="163">
        <v>12</v>
      </c>
      <c r="V6" s="163">
        <v>16</v>
      </c>
      <c r="W6" s="163">
        <v>16</v>
      </c>
      <c r="X6" s="163">
        <v>16</v>
      </c>
      <c r="Y6" s="163">
        <v>16</v>
      </c>
      <c r="Z6" s="163">
        <v>16</v>
      </c>
      <c r="AA6" s="163">
        <v>12</v>
      </c>
      <c r="AB6" s="163">
        <v>12</v>
      </c>
      <c r="AC6" s="163">
        <v>16</v>
      </c>
      <c r="AD6" s="163">
        <v>16</v>
      </c>
      <c r="AE6" s="163">
        <v>16</v>
      </c>
      <c r="AF6" s="163">
        <v>16</v>
      </c>
      <c r="AG6" s="163">
        <v>16</v>
      </c>
      <c r="AH6" s="240">
        <v>12</v>
      </c>
    </row>
    <row r="7" spans="2:53" s="40" customFormat="1" ht="18" customHeight="1" thickBot="1" x14ac:dyDescent="0.35">
      <c r="B7" s="325"/>
      <c r="C7" s="244" t="s">
        <v>3</v>
      </c>
      <c r="D7" s="245">
        <f>D5+D6</f>
        <v>58</v>
      </c>
      <c r="E7" s="245">
        <f t="shared" ref="E7:AH7" si="0">E5+E6</f>
        <v>61</v>
      </c>
      <c r="F7" s="245">
        <f t="shared" si="0"/>
        <v>51</v>
      </c>
      <c r="G7" s="245">
        <f t="shared" si="0"/>
        <v>56</v>
      </c>
      <c r="H7" s="245">
        <f t="shared" si="0"/>
        <v>64</v>
      </c>
      <c r="I7" s="245">
        <f t="shared" si="0"/>
        <v>64</v>
      </c>
      <c r="J7" s="245">
        <f t="shared" si="0"/>
        <v>60</v>
      </c>
      <c r="K7" s="245">
        <f t="shared" si="0"/>
        <v>58</v>
      </c>
      <c r="L7" s="245">
        <f t="shared" si="0"/>
        <v>61</v>
      </c>
      <c r="M7" s="245">
        <f t="shared" si="0"/>
        <v>51</v>
      </c>
      <c r="N7" s="245">
        <f t="shared" si="0"/>
        <v>56</v>
      </c>
      <c r="O7" s="245">
        <f t="shared" si="0"/>
        <v>58</v>
      </c>
      <c r="P7" s="245">
        <f t="shared" si="0"/>
        <v>58</v>
      </c>
      <c r="Q7" s="245">
        <f t="shared" si="0"/>
        <v>61</v>
      </c>
      <c r="R7" s="245">
        <f t="shared" si="0"/>
        <v>52</v>
      </c>
      <c r="S7" s="245">
        <f t="shared" si="0"/>
        <v>58</v>
      </c>
      <c r="T7" s="245">
        <f t="shared" si="0"/>
        <v>51</v>
      </c>
      <c r="U7" s="245">
        <f t="shared" si="0"/>
        <v>56</v>
      </c>
      <c r="V7" s="245">
        <f t="shared" si="0"/>
        <v>58</v>
      </c>
      <c r="W7" s="245">
        <f t="shared" si="0"/>
        <v>58</v>
      </c>
      <c r="X7" s="245">
        <f t="shared" si="0"/>
        <v>58</v>
      </c>
      <c r="Y7" s="245">
        <f t="shared" si="0"/>
        <v>58</v>
      </c>
      <c r="Z7" s="245">
        <f t="shared" si="0"/>
        <v>61</v>
      </c>
      <c r="AA7" s="245">
        <f t="shared" si="0"/>
        <v>51</v>
      </c>
      <c r="AB7" s="245">
        <f t="shared" si="0"/>
        <v>56</v>
      </c>
      <c r="AC7" s="245">
        <f t="shared" si="0"/>
        <v>58</v>
      </c>
      <c r="AD7" s="245">
        <f t="shared" si="0"/>
        <v>58</v>
      </c>
      <c r="AE7" s="245">
        <f t="shared" si="0"/>
        <v>58</v>
      </c>
      <c r="AF7" s="245">
        <f t="shared" si="0"/>
        <v>58</v>
      </c>
      <c r="AG7" s="245">
        <f t="shared" si="0"/>
        <v>61</v>
      </c>
      <c r="AH7" s="246">
        <f t="shared" si="0"/>
        <v>51</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DA3B3-A554-43CF-ABFB-4CCB2222BD77}">
  <sheetPr codeName="Hoja31">
    <pageSetUpPr fitToPage="1"/>
  </sheetPr>
  <dimension ref="B1:BA37"/>
  <sheetViews>
    <sheetView showGridLines="0" zoomScale="110" zoomScaleNormal="110" workbookViewId="0">
      <selection activeCell="P17" sqref="P17"/>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v>45559</v>
      </c>
      <c r="AD2" s="332"/>
      <c r="AE2" s="332"/>
      <c r="AF2" s="332"/>
      <c r="AG2" s="332"/>
      <c r="AH2" s="333"/>
      <c r="AI2" s="40"/>
      <c r="AJ2" s="40"/>
    </row>
    <row r="3" spans="2:53" ht="23.25" customHeight="1" x14ac:dyDescent="0.25">
      <c r="B3" s="323">
        <v>45559</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45</v>
      </c>
      <c r="E5" s="247">
        <v>43</v>
      </c>
      <c r="F5" s="247">
        <v>42</v>
      </c>
      <c r="G5" s="247">
        <v>44</v>
      </c>
      <c r="H5" s="247">
        <v>46</v>
      </c>
      <c r="I5" s="247">
        <v>47</v>
      </c>
      <c r="J5" s="247">
        <v>39</v>
      </c>
      <c r="K5" s="247">
        <v>44</v>
      </c>
      <c r="L5" s="247">
        <v>46</v>
      </c>
      <c r="M5" s="247">
        <v>46</v>
      </c>
      <c r="N5" s="247">
        <v>46</v>
      </c>
      <c r="O5" s="247">
        <v>46</v>
      </c>
      <c r="P5" s="247">
        <v>47</v>
      </c>
      <c r="Q5" s="247">
        <v>39</v>
      </c>
      <c r="R5" s="247">
        <v>42</v>
      </c>
      <c r="S5" s="247">
        <v>42</v>
      </c>
      <c r="T5" s="247">
        <v>40</v>
      </c>
      <c r="U5" s="247">
        <v>40</v>
      </c>
      <c r="V5" s="247">
        <v>40</v>
      </c>
      <c r="W5" s="247">
        <v>44</v>
      </c>
      <c r="X5" s="247">
        <v>37</v>
      </c>
      <c r="Y5" s="247">
        <v>42</v>
      </c>
      <c r="Z5" s="247">
        <v>44</v>
      </c>
      <c r="AA5" s="247">
        <v>40</v>
      </c>
      <c r="AB5" s="247">
        <v>40</v>
      </c>
      <c r="AC5" s="247">
        <v>40</v>
      </c>
      <c r="AD5" s="247">
        <v>45</v>
      </c>
      <c r="AE5" s="247">
        <v>37</v>
      </c>
      <c r="AF5" s="247">
        <v>42</v>
      </c>
      <c r="AG5" s="247">
        <v>44</v>
      </c>
      <c r="AH5" s="248"/>
      <c r="AI5" s="40">
        <f>SUM(Tabla47[[#This Row],[1]:[31]])</f>
        <v>1279</v>
      </c>
    </row>
    <row r="6" spans="2:53" s="40" customFormat="1" ht="18" customHeight="1" x14ac:dyDescent="0.3">
      <c r="B6" s="324"/>
      <c r="C6" s="239" t="s">
        <v>11</v>
      </c>
      <c r="D6" s="163">
        <v>12</v>
      </c>
      <c r="E6" s="163">
        <v>16</v>
      </c>
      <c r="F6" s="163">
        <v>16</v>
      </c>
      <c r="G6" s="163">
        <v>16</v>
      </c>
      <c r="H6" s="163">
        <v>16</v>
      </c>
      <c r="I6" s="163">
        <v>16</v>
      </c>
      <c r="J6" s="163">
        <v>12</v>
      </c>
      <c r="K6" s="163">
        <v>12</v>
      </c>
      <c r="L6" s="163">
        <v>16</v>
      </c>
      <c r="M6" s="163">
        <v>16</v>
      </c>
      <c r="N6" s="163">
        <v>16</v>
      </c>
      <c r="O6" s="163">
        <v>16</v>
      </c>
      <c r="P6" s="163">
        <v>16</v>
      </c>
      <c r="Q6" s="163">
        <v>12</v>
      </c>
      <c r="R6" s="163">
        <v>12</v>
      </c>
      <c r="S6" s="163">
        <v>16</v>
      </c>
      <c r="T6" s="163">
        <v>16</v>
      </c>
      <c r="U6" s="163">
        <v>16</v>
      </c>
      <c r="V6" s="163">
        <v>16</v>
      </c>
      <c r="W6" s="163">
        <v>16</v>
      </c>
      <c r="X6" s="163">
        <v>12</v>
      </c>
      <c r="Y6" s="163">
        <v>12</v>
      </c>
      <c r="Z6" s="163">
        <v>16</v>
      </c>
      <c r="AA6" s="163">
        <v>13</v>
      </c>
      <c r="AB6" s="163">
        <v>13</v>
      </c>
      <c r="AC6" s="163">
        <v>16</v>
      </c>
      <c r="AD6" s="163">
        <v>16</v>
      </c>
      <c r="AE6" s="163">
        <v>12</v>
      </c>
      <c r="AF6" s="163">
        <v>12</v>
      </c>
      <c r="AG6" s="163">
        <v>16</v>
      </c>
      <c r="AH6" s="240"/>
      <c r="AI6" s="40">
        <f>SUM(Tabla47[[#This Row],[1]:[31]])</f>
        <v>438</v>
      </c>
    </row>
    <row r="7" spans="2:53" s="40" customFormat="1" ht="18" customHeight="1" thickBot="1" x14ac:dyDescent="0.35">
      <c r="B7" s="325"/>
      <c r="C7" s="244" t="s">
        <v>3</v>
      </c>
      <c r="D7" s="245">
        <f>D5+D6</f>
        <v>57</v>
      </c>
      <c r="E7" s="245">
        <f t="shared" ref="E7:AH7" si="0">E5+E6</f>
        <v>59</v>
      </c>
      <c r="F7" s="245">
        <f t="shared" si="0"/>
        <v>58</v>
      </c>
      <c r="G7" s="245">
        <f t="shared" si="0"/>
        <v>60</v>
      </c>
      <c r="H7" s="245">
        <f t="shared" si="0"/>
        <v>62</v>
      </c>
      <c r="I7" s="245">
        <f t="shared" si="0"/>
        <v>63</v>
      </c>
      <c r="J7" s="245">
        <f t="shared" si="0"/>
        <v>51</v>
      </c>
      <c r="K7" s="245">
        <f t="shared" si="0"/>
        <v>56</v>
      </c>
      <c r="L7" s="245">
        <f t="shared" si="0"/>
        <v>62</v>
      </c>
      <c r="M7" s="245">
        <f t="shared" si="0"/>
        <v>62</v>
      </c>
      <c r="N7" s="245">
        <f t="shared" si="0"/>
        <v>62</v>
      </c>
      <c r="O7" s="245">
        <f t="shared" si="0"/>
        <v>62</v>
      </c>
      <c r="P7" s="245">
        <f t="shared" si="0"/>
        <v>63</v>
      </c>
      <c r="Q7" s="245">
        <f t="shared" si="0"/>
        <v>51</v>
      </c>
      <c r="R7" s="245">
        <f t="shared" si="0"/>
        <v>54</v>
      </c>
      <c r="S7" s="245">
        <f t="shared" si="0"/>
        <v>58</v>
      </c>
      <c r="T7" s="245">
        <f t="shared" si="0"/>
        <v>56</v>
      </c>
      <c r="U7" s="245">
        <f t="shared" si="0"/>
        <v>56</v>
      </c>
      <c r="V7" s="245">
        <f t="shared" si="0"/>
        <v>56</v>
      </c>
      <c r="W7" s="245">
        <f t="shared" si="0"/>
        <v>60</v>
      </c>
      <c r="X7" s="245">
        <f t="shared" si="0"/>
        <v>49</v>
      </c>
      <c r="Y7" s="245">
        <f t="shared" si="0"/>
        <v>54</v>
      </c>
      <c r="Z7" s="245">
        <f t="shared" si="0"/>
        <v>60</v>
      </c>
      <c r="AA7" s="245">
        <f t="shared" si="0"/>
        <v>53</v>
      </c>
      <c r="AB7" s="245">
        <f t="shared" si="0"/>
        <v>53</v>
      </c>
      <c r="AC7" s="245">
        <f t="shared" si="0"/>
        <v>56</v>
      </c>
      <c r="AD7" s="245">
        <f t="shared" si="0"/>
        <v>61</v>
      </c>
      <c r="AE7" s="245">
        <f t="shared" si="0"/>
        <v>49</v>
      </c>
      <c r="AF7" s="245">
        <f t="shared" si="0"/>
        <v>54</v>
      </c>
      <c r="AG7" s="245">
        <f t="shared" si="0"/>
        <v>60</v>
      </c>
      <c r="AH7" s="246">
        <f t="shared" si="0"/>
        <v>0</v>
      </c>
      <c r="AI7" s="40">
        <f>SUM(Tabla47[[#This Row],[1]:[31]])</f>
        <v>1717</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D9375-9020-4F03-923E-66CF99C8A634}">
  <sheetPr codeName="Hoja30">
    <pageSetUpPr fitToPage="1"/>
  </sheetPr>
  <dimension ref="B1:BA37"/>
  <sheetViews>
    <sheetView showGridLines="0" topLeftCell="G1" zoomScale="110" zoomScaleNormal="110" workbookViewId="0">
      <selection activeCell="Y16" sqref="Y16"/>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v>45589</v>
      </c>
      <c r="AD2" s="332"/>
      <c r="AE2" s="332"/>
      <c r="AF2" s="332"/>
      <c r="AG2" s="332"/>
      <c r="AH2" s="333"/>
      <c r="AI2" s="40"/>
      <c r="AJ2" s="40"/>
    </row>
    <row r="3" spans="2:53" ht="23.25" customHeight="1" x14ac:dyDescent="0.25">
      <c r="B3" s="323">
        <v>45589</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37</v>
      </c>
      <c r="E5" s="247">
        <v>38</v>
      </c>
      <c r="F5" s="247">
        <v>40</v>
      </c>
      <c r="G5" s="247">
        <v>45</v>
      </c>
      <c r="H5" s="247">
        <v>39</v>
      </c>
      <c r="I5" s="247">
        <v>41</v>
      </c>
      <c r="J5" s="247">
        <v>41</v>
      </c>
      <c r="K5" s="247">
        <v>37</v>
      </c>
      <c r="L5" s="247">
        <v>37</v>
      </c>
      <c r="M5" s="247">
        <v>39</v>
      </c>
      <c r="N5" s="247">
        <v>45</v>
      </c>
      <c r="O5" s="247">
        <v>40</v>
      </c>
      <c r="P5" s="247">
        <v>40</v>
      </c>
      <c r="Q5" s="247">
        <v>41</v>
      </c>
      <c r="R5" s="247">
        <v>37</v>
      </c>
      <c r="S5" s="247">
        <v>39</v>
      </c>
      <c r="T5" s="247">
        <v>40</v>
      </c>
      <c r="U5" s="247">
        <v>45</v>
      </c>
      <c r="V5" s="247">
        <v>35</v>
      </c>
      <c r="W5" s="247">
        <v>30</v>
      </c>
      <c r="X5" s="247">
        <v>39</v>
      </c>
      <c r="Y5" s="247">
        <v>37</v>
      </c>
      <c r="Z5" s="247">
        <v>38</v>
      </c>
      <c r="AA5" s="247">
        <v>41</v>
      </c>
      <c r="AB5" s="247">
        <v>45</v>
      </c>
      <c r="AC5" s="247">
        <v>39</v>
      </c>
      <c r="AD5" s="247">
        <v>41</v>
      </c>
      <c r="AE5" s="247">
        <v>41</v>
      </c>
      <c r="AF5" s="247">
        <v>38</v>
      </c>
      <c r="AG5" s="247">
        <v>38</v>
      </c>
      <c r="AH5" s="248">
        <v>43</v>
      </c>
    </row>
    <row r="6" spans="2:53" s="40" customFormat="1" ht="18" customHeight="1" x14ac:dyDescent="0.3">
      <c r="B6" s="324"/>
      <c r="C6" s="239" t="s">
        <v>11</v>
      </c>
      <c r="D6" s="163">
        <v>16</v>
      </c>
      <c r="E6" s="163">
        <v>16</v>
      </c>
      <c r="F6" s="163">
        <v>16</v>
      </c>
      <c r="G6" s="163">
        <v>16</v>
      </c>
      <c r="H6" s="163">
        <v>12</v>
      </c>
      <c r="I6" s="163">
        <v>12</v>
      </c>
      <c r="J6" s="163">
        <v>16</v>
      </c>
      <c r="K6" s="163">
        <v>16</v>
      </c>
      <c r="L6" s="163">
        <v>16</v>
      </c>
      <c r="M6" s="163">
        <v>16</v>
      </c>
      <c r="N6" s="163">
        <v>16</v>
      </c>
      <c r="O6" s="163">
        <v>12</v>
      </c>
      <c r="P6" s="163">
        <v>12</v>
      </c>
      <c r="Q6" s="163">
        <v>16</v>
      </c>
      <c r="R6" s="163">
        <v>16</v>
      </c>
      <c r="S6" s="163">
        <v>16</v>
      </c>
      <c r="T6" s="163">
        <v>16</v>
      </c>
      <c r="U6" s="163">
        <v>16</v>
      </c>
      <c r="V6" s="163">
        <v>12</v>
      </c>
      <c r="W6" s="163">
        <v>12</v>
      </c>
      <c r="X6" s="163">
        <v>16</v>
      </c>
      <c r="Y6" s="163">
        <v>16</v>
      </c>
      <c r="Z6" s="163">
        <v>16</v>
      </c>
      <c r="AA6" s="163">
        <v>16</v>
      </c>
      <c r="AB6" s="163">
        <v>16</v>
      </c>
      <c r="AC6" s="163">
        <v>12</v>
      </c>
      <c r="AD6" s="163">
        <v>12</v>
      </c>
      <c r="AE6" s="163">
        <v>16</v>
      </c>
      <c r="AF6" s="163">
        <v>16</v>
      </c>
      <c r="AG6" s="163">
        <v>16</v>
      </c>
      <c r="AH6" s="240">
        <v>16</v>
      </c>
    </row>
    <row r="7" spans="2:53" s="40" customFormat="1" ht="18" customHeight="1" thickBot="1" x14ac:dyDescent="0.35">
      <c r="B7" s="325"/>
      <c r="C7" s="244" t="s">
        <v>3</v>
      </c>
      <c r="D7" s="245">
        <f>D5+D6</f>
        <v>53</v>
      </c>
      <c r="E7" s="245">
        <f t="shared" ref="E7:AH7" si="0">E5+E6</f>
        <v>54</v>
      </c>
      <c r="F7" s="245">
        <f t="shared" si="0"/>
        <v>56</v>
      </c>
      <c r="G7" s="245">
        <f t="shared" si="0"/>
        <v>61</v>
      </c>
      <c r="H7" s="245">
        <f t="shared" si="0"/>
        <v>51</v>
      </c>
      <c r="I7" s="245">
        <f t="shared" si="0"/>
        <v>53</v>
      </c>
      <c r="J7" s="245">
        <f t="shared" si="0"/>
        <v>57</v>
      </c>
      <c r="K7" s="245">
        <f t="shared" si="0"/>
        <v>53</v>
      </c>
      <c r="L7" s="245">
        <f t="shared" si="0"/>
        <v>53</v>
      </c>
      <c r="M7" s="245">
        <f t="shared" si="0"/>
        <v>55</v>
      </c>
      <c r="N7" s="245">
        <f t="shared" si="0"/>
        <v>61</v>
      </c>
      <c r="O7" s="245">
        <f t="shared" si="0"/>
        <v>52</v>
      </c>
      <c r="P7" s="245">
        <f t="shared" si="0"/>
        <v>52</v>
      </c>
      <c r="Q7" s="245">
        <f t="shared" si="0"/>
        <v>57</v>
      </c>
      <c r="R7" s="245">
        <f t="shared" si="0"/>
        <v>53</v>
      </c>
      <c r="S7" s="245">
        <f t="shared" si="0"/>
        <v>55</v>
      </c>
      <c r="T7" s="245">
        <f t="shared" si="0"/>
        <v>56</v>
      </c>
      <c r="U7" s="245">
        <f t="shared" si="0"/>
        <v>61</v>
      </c>
      <c r="V7" s="245">
        <f t="shared" si="0"/>
        <v>47</v>
      </c>
      <c r="W7" s="245">
        <f t="shared" si="0"/>
        <v>42</v>
      </c>
      <c r="X7" s="245">
        <f t="shared" si="0"/>
        <v>55</v>
      </c>
      <c r="Y7" s="245">
        <f t="shared" si="0"/>
        <v>53</v>
      </c>
      <c r="Z7" s="245">
        <f t="shared" si="0"/>
        <v>54</v>
      </c>
      <c r="AA7" s="245">
        <f t="shared" si="0"/>
        <v>57</v>
      </c>
      <c r="AB7" s="245">
        <f t="shared" si="0"/>
        <v>61</v>
      </c>
      <c r="AC7" s="245">
        <f t="shared" si="0"/>
        <v>51</v>
      </c>
      <c r="AD7" s="245">
        <f t="shared" si="0"/>
        <v>53</v>
      </c>
      <c r="AE7" s="245">
        <f t="shared" si="0"/>
        <v>57</v>
      </c>
      <c r="AF7" s="245">
        <f t="shared" si="0"/>
        <v>54</v>
      </c>
      <c r="AG7" s="245">
        <f t="shared" si="0"/>
        <v>54</v>
      </c>
      <c r="AH7" s="246">
        <f t="shared" si="0"/>
        <v>59</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D61B4-497E-4CD6-AD1D-BA1ECC3B025E}">
  <sheetPr codeName="Hoja32">
    <pageSetUpPr fitToPage="1"/>
  </sheetPr>
  <dimension ref="B1:BA37"/>
  <sheetViews>
    <sheetView showGridLines="0" zoomScale="110" zoomScaleNormal="110" workbookViewId="0">
      <selection activeCell="G2" sqref="G2:AB2"/>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v>45620</v>
      </c>
      <c r="AD2" s="332"/>
      <c r="AE2" s="332"/>
      <c r="AF2" s="332"/>
      <c r="AG2" s="332"/>
      <c r="AH2" s="333"/>
      <c r="AI2" s="40"/>
      <c r="AJ2" s="40"/>
    </row>
    <row r="3" spans="2:53" ht="23.25" customHeight="1" x14ac:dyDescent="0.25">
      <c r="B3" s="323">
        <v>45620</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40</v>
      </c>
      <c r="E5" s="247">
        <v>39</v>
      </c>
      <c r="F5" s="247">
        <v>41</v>
      </c>
      <c r="G5" s="247">
        <v>41</v>
      </c>
      <c r="H5" s="247">
        <v>37</v>
      </c>
      <c r="I5" s="247">
        <v>38</v>
      </c>
      <c r="J5" s="247">
        <v>40</v>
      </c>
      <c r="K5" s="247">
        <v>45</v>
      </c>
      <c r="L5" s="247">
        <v>39</v>
      </c>
      <c r="M5" s="247">
        <v>39</v>
      </c>
      <c r="N5" s="247">
        <v>41</v>
      </c>
      <c r="O5" s="247">
        <v>37</v>
      </c>
      <c r="P5" s="247">
        <v>38</v>
      </c>
      <c r="Q5" s="247">
        <v>40</v>
      </c>
      <c r="R5" s="247">
        <v>45</v>
      </c>
      <c r="S5" s="247">
        <v>39</v>
      </c>
      <c r="T5" s="247">
        <v>41</v>
      </c>
      <c r="U5" s="247">
        <v>41</v>
      </c>
      <c r="V5" s="247">
        <v>37</v>
      </c>
      <c r="W5" s="247">
        <v>38</v>
      </c>
      <c r="X5" s="247">
        <v>40</v>
      </c>
      <c r="Y5" s="247">
        <v>45</v>
      </c>
      <c r="Z5" s="247">
        <v>39</v>
      </c>
      <c r="AA5" s="247">
        <v>41</v>
      </c>
      <c r="AB5" s="247">
        <v>41</v>
      </c>
      <c r="AC5" s="247">
        <v>37</v>
      </c>
      <c r="AD5" s="247">
        <v>38</v>
      </c>
      <c r="AE5" s="247">
        <v>40</v>
      </c>
      <c r="AF5" s="247">
        <v>45</v>
      </c>
      <c r="AG5" s="247">
        <v>39</v>
      </c>
      <c r="AH5" s="248"/>
    </row>
    <row r="6" spans="2:53" s="40" customFormat="1" ht="18" customHeight="1" x14ac:dyDescent="0.3">
      <c r="B6" s="324"/>
      <c r="C6" s="239" t="s">
        <v>11</v>
      </c>
      <c r="D6" s="163">
        <v>12</v>
      </c>
      <c r="E6" s="163">
        <v>12</v>
      </c>
      <c r="F6" s="163">
        <v>12</v>
      </c>
      <c r="G6" s="163">
        <v>16</v>
      </c>
      <c r="H6" s="163">
        <v>16</v>
      </c>
      <c r="I6" s="163">
        <v>16</v>
      </c>
      <c r="J6" s="163">
        <v>16</v>
      </c>
      <c r="K6" s="163">
        <v>16</v>
      </c>
      <c r="L6" s="163">
        <v>12</v>
      </c>
      <c r="M6" s="163">
        <v>12</v>
      </c>
      <c r="N6" s="163">
        <v>16</v>
      </c>
      <c r="O6" s="163">
        <v>16</v>
      </c>
      <c r="P6" s="163">
        <v>16</v>
      </c>
      <c r="Q6" s="163">
        <v>16</v>
      </c>
      <c r="R6" s="163">
        <v>16</v>
      </c>
      <c r="S6" s="163">
        <v>12</v>
      </c>
      <c r="T6" s="163">
        <v>12</v>
      </c>
      <c r="U6" s="163">
        <v>16</v>
      </c>
      <c r="V6" s="163">
        <v>16</v>
      </c>
      <c r="W6" s="163">
        <v>16</v>
      </c>
      <c r="X6" s="163">
        <v>16</v>
      </c>
      <c r="Y6" s="163">
        <v>16</v>
      </c>
      <c r="Z6" s="163">
        <v>12</v>
      </c>
      <c r="AA6" s="163">
        <v>12</v>
      </c>
      <c r="AB6" s="163">
        <v>16</v>
      </c>
      <c r="AC6" s="163">
        <v>16</v>
      </c>
      <c r="AD6" s="163">
        <v>16</v>
      </c>
      <c r="AE6" s="163">
        <v>16</v>
      </c>
      <c r="AF6" s="163">
        <v>16</v>
      </c>
      <c r="AG6" s="163">
        <v>12</v>
      </c>
      <c r="AH6" s="240"/>
    </row>
    <row r="7" spans="2:53" s="40" customFormat="1" ht="18" customHeight="1" thickBot="1" x14ac:dyDescent="0.35">
      <c r="B7" s="325"/>
      <c r="C7" s="244" t="s">
        <v>3</v>
      </c>
      <c r="D7" s="245">
        <f>D5+D6</f>
        <v>52</v>
      </c>
      <c r="E7" s="245">
        <f t="shared" ref="E7:AH7" si="0">E5+E6</f>
        <v>51</v>
      </c>
      <c r="F7" s="245">
        <f t="shared" si="0"/>
        <v>53</v>
      </c>
      <c r="G7" s="245">
        <f t="shared" si="0"/>
        <v>57</v>
      </c>
      <c r="H7" s="245">
        <f t="shared" si="0"/>
        <v>53</v>
      </c>
      <c r="I7" s="245">
        <f t="shared" si="0"/>
        <v>54</v>
      </c>
      <c r="J7" s="245">
        <f t="shared" si="0"/>
        <v>56</v>
      </c>
      <c r="K7" s="245">
        <f t="shared" si="0"/>
        <v>61</v>
      </c>
      <c r="L7" s="245">
        <f t="shared" si="0"/>
        <v>51</v>
      </c>
      <c r="M7" s="245">
        <f t="shared" si="0"/>
        <v>51</v>
      </c>
      <c r="N7" s="245">
        <f t="shared" si="0"/>
        <v>57</v>
      </c>
      <c r="O7" s="245">
        <f t="shared" si="0"/>
        <v>53</v>
      </c>
      <c r="P7" s="245">
        <f t="shared" si="0"/>
        <v>54</v>
      </c>
      <c r="Q7" s="245">
        <f t="shared" si="0"/>
        <v>56</v>
      </c>
      <c r="R7" s="245">
        <f t="shared" si="0"/>
        <v>61</v>
      </c>
      <c r="S7" s="245">
        <f t="shared" si="0"/>
        <v>51</v>
      </c>
      <c r="T7" s="245">
        <f t="shared" si="0"/>
        <v>53</v>
      </c>
      <c r="U7" s="245">
        <f t="shared" si="0"/>
        <v>57</v>
      </c>
      <c r="V7" s="245">
        <f t="shared" si="0"/>
        <v>53</v>
      </c>
      <c r="W7" s="245">
        <f t="shared" si="0"/>
        <v>54</v>
      </c>
      <c r="X7" s="245">
        <f t="shared" si="0"/>
        <v>56</v>
      </c>
      <c r="Y7" s="245">
        <f t="shared" si="0"/>
        <v>61</v>
      </c>
      <c r="Z7" s="245">
        <f t="shared" si="0"/>
        <v>51</v>
      </c>
      <c r="AA7" s="245">
        <f t="shared" si="0"/>
        <v>53</v>
      </c>
      <c r="AB7" s="245">
        <f t="shared" si="0"/>
        <v>57</v>
      </c>
      <c r="AC7" s="245">
        <f t="shared" si="0"/>
        <v>53</v>
      </c>
      <c r="AD7" s="245">
        <f t="shared" si="0"/>
        <v>54</v>
      </c>
      <c r="AE7" s="245">
        <f t="shared" si="0"/>
        <v>56</v>
      </c>
      <c r="AF7" s="245">
        <f t="shared" si="0"/>
        <v>61</v>
      </c>
      <c r="AG7" s="245">
        <f t="shared" si="0"/>
        <v>51</v>
      </c>
      <c r="AH7" s="246">
        <f t="shared" si="0"/>
        <v>0</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748969-2A72-441D-9831-242BD2E6A89D}">
  <sheetPr codeName="Hoja33">
    <pageSetUpPr fitToPage="1"/>
  </sheetPr>
  <dimension ref="B1:BA37"/>
  <sheetViews>
    <sheetView showGridLines="0" zoomScale="110" zoomScaleNormal="110" workbookViewId="0">
      <selection activeCell="N17" sqref="N17"/>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t="s">
        <v>94</v>
      </c>
      <c r="AD2" s="332"/>
      <c r="AE2" s="332"/>
      <c r="AF2" s="332"/>
      <c r="AG2" s="332"/>
      <c r="AH2" s="333"/>
      <c r="AI2" s="40"/>
      <c r="AJ2" s="40"/>
    </row>
    <row r="3" spans="2:53" ht="23.25" customHeight="1" x14ac:dyDescent="0.25">
      <c r="B3" s="323" t="s">
        <v>94</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41</v>
      </c>
      <c r="E5" s="247">
        <v>42</v>
      </c>
      <c r="F5" s="247">
        <v>37</v>
      </c>
      <c r="G5" s="247">
        <v>38</v>
      </c>
      <c r="H5" s="247">
        <v>45</v>
      </c>
      <c r="I5" s="247">
        <v>40</v>
      </c>
      <c r="J5" s="247">
        <v>39</v>
      </c>
      <c r="K5" s="247">
        <v>41</v>
      </c>
      <c r="L5" s="247">
        <v>42</v>
      </c>
      <c r="M5" s="247">
        <v>40</v>
      </c>
      <c r="N5" s="247">
        <v>38</v>
      </c>
      <c r="O5" s="247">
        <v>40</v>
      </c>
      <c r="P5" s="247">
        <v>45</v>
      </c>
      <c r="Q5" s="247">
        <v>39</v>
      </c>
      <c r="R5" s="247">
        <v>43</v>
      </c>
      <c r="S5" s="247">
        <v>43</v>
      </c>
      <c r="T5" s="247">
        <v>39</v>
      </c>
      <c r="U5" s="247">
        <v>40</v>
      </c>
      <c r="V5" s="247">
        <v>44</v>
      </c>
      <c r="W5" s="247">
        <v>47</v>
      </c>
      <c r="X5" s="247">
        <v>40</v>
      </c>
      <c r="Y5" s="247">
        <v>43</v>
      </c>
      <c r="Z5" s="247">
        <v>44</v>
      </c>
      <c r="AA5" s="247">
        <v>38</v>
      </c>
      <c r="AB5" s="247">
        <v>34</v>
      </c>
      <c r="AC5" s="247">
        <v>44</v>
      </c>
      <c r="AD5" s="247">
        <v>46</v>
      </c>
      <c r="AE5" s="247">
        <v>39</v>
      </c>
      <c r="AF5" s="247">
        <v>43</v>
      </c>
      <c r="AG5" s="247">
        <v>43</v>
      </c>
      <c r="AH5" s="248">
        <v>38</v>
      </c>
    </row>
    <row r="6" spans="2:53" s="40" customFormat="1" ht="18" customHeight="1" x14ac:dyDescent="0.3">
      <c r="B6" s="324"/>
      <c r="C6" s="239" t="s">
        <v>11</v>
      </c>
      <c r="D6" s="163">
        <v>12</v>
      </c>
      <c r="E6" s="163">
        <v>16</v>
      </c>
      <c r="F6" s="163">
        <v>16</v>
      </c>
      <c r="G6" s="163">
        <v>16</v>
      </c>
      <c r="H6" s="163">
        <v>16</v>
      </c>
      <c r="I6" s="163">
        <v>12</v>
      </c>
      <c r="J6" s="163">
        <v>12</v>
      </c>
      <c r="K6" s="163">
        <v>12</v>
      </c>
      <c r="L6" s="163">
        <v>16</v>
      </c>
      <c r="M6" s="163">
        <v>16</v>
      </c>
      <c r="N6" s="163">
        <v>16</v>
      </c>
      <c r="O6" s="163">
        <v>16</v>
      </c>
      <c r="P6" s="163">
        <v>16</v>
      </c>
      <c r="Q6" s="163">
        <v>12</v>
      </c>
      <c r="R6" s="163">
        <v>12</v>
      </c>
      <c r="S6" s="163">
        <v>16</v>
      </c>
      <c r="T6" s="163">
        <v>16</v>
      </c>
      <c r="U6" s="163">
        <v>16</v>
      </c>
      <c r="V6" s="163">
        <v>16</v>
      </c>
      <c r="W6" s="163">
        <v>16</v>
      </c>
      <c r="X6" s="163">
        <v>12</v>
      </c>
      <c r="Y6" s="163">
        <v>12</v>
      </c>
      <c r="Z6" s="163">
        <v>16</v>
      </c>
      <c r="AA6" s="163">
        <v>16</v>
      </c>
      <c r="AB6" s="163">
        <v>12</v>
      </c>
      <c r="AC6" s="163">
        <v>16</v>
      </c>
      <c r="AD6" s="163">
        <v>16</v>
      </c>
      <c r="AE6" s="163">
        <v>12</v>
      </c>
      <c r="AF6" s="163">
        <v>12</v>
      </c>
      <c r="AG6" s="163">
        <v>16</v>
      </c>
      <c r="AH6" s="240">
        <v>16</v>
      </c>
    </row>
    <row r="7" spans="2:53" s="40" customFormat="1" ht="18" customHeight="1" thickBot="1" x14ac:dyDescent="0.35">
      <c r="B7" s="325"/>
      <c r="C7" s="244" t="s">
        <v>3</v>
      </c>
      <c r="D7" s="245">
        <f>D5+D6</f>
        <v>53</v>
      </c>
      <c r="E7" s="245">
        <f t="shared" ref="E7:AH7" si="0">E5+E6</f>
        <v>58</v>
      </c>
      <c r="F7" s="245">
        <f t="shared" si="0"/>
        <v>53</v>
      </c>
      <c r="G7" s="245">
        <f t="shared" si="0"/>
        <v>54</v>
      </c>
      <c r="H7" s="245">
        <f t="shared" si="0"/>
        <v>61</v>
      </c>
      <c r="I7" s="245">
        <f t="shared" si="0"/>
        <v>52</v>
      </c>
      <c r="J7" s="245">
        <f t="shared" si="0"/>
        <v>51</v>
      </c>
      <c r="K7" s="245">
        <f t="shared" si="0"/>
        <v>53</v>
      </c>
      <c r="L7" s="245">
        <f t="shared" si="0"/>
        <v>58</v>
      </c>
      <c r="M7" s="245">
        <f t="shared" si="0"/>
        <v>56</v>
      </c>
      <c r="N7" s="245">
        <f t="shared" si="0"/>
        <v>54</v>
      </c>
      <c r="O7" s="245">
        <f t="shared" si="0"/>
        <v>56</v>
      </c>
      <c r="P7" s="245">
        <f t="shared" si="0"/>
        <v>61</v>
      </c>
      <c r="Q7" s="245">
        <f t="shared" si="0"/>
        <v>51</v>
      </c>
      <c r="R7" s="245">
        <f t="shared" si="0"/>
        <v>55</v>
      </c>
      <c r="S7" s="245">
        <f t="shared" si="0"/>
        <v>59</v>
      </c>
      <c r="T7" s="245">
        <f t="shared" si="0"/>
        <v>55</v>
      </c>
      <c r="U7" s="245">
        <f t="shared" si="0"/>
        <v>56</v>
      </c>
      <c r="V7" s="245">
        <f t="shared" si="0"/>
        <v>60</v>
      </c>
      <c r="W7" s="245">
        <f t="shared" si="0"/>
        <v>63</v>
      </c>
      <c r="X7" s="245">
        <f t="shared" si="0"/>
        <v>52</v>
      </c>
      <c r="Y7" s="245">
        <f t="shared" si="0"/>
        <v>55</v>
      </c>
      <c r="Z7" s="245">
        <f t="shared" si="0"/>
        <v>60</v>
      </c>
      <c r="AA7" s="245">
        <f t="shared" si="0"/>
        <v>54</v>
      </c>
      <c r="AB7" s="245">
        <f t="shared" si="0"/>
        <v>46</v>
      </c>
      <c r="AC7" s="245">
        <f t="shared" si="0"/>
        <v>60</v>
      </c>
      <c r="AD7" s="245">
        <f t="shared" si="0"/>
        <v>62</v>
      </c>
      <c r="AE7" s="245">
        <f t="shared" si="0"/>
        <v>51</v>
      </c>
      <c r="AF7" s="245">
        <f t="shared" si="0"/>
        <v>55</v>
      </c>
      <c r="AG7" s="245">
        <f t="shared" si="0"/>
        <v>59</v>
      </c>
      <c r="AH7" s="246">
        <f t="shared" si="0"/>
        <v>54</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9EE18-97D7-4416-9FE5-D185320EF0D1}">
  <sheetPr codeName="Hoja34">
    <pageSetUpPr fitToPage="1"/>
  </sheetPr>
  <dimension ref="B1:BA37"/>
  <sheetViews>
    <sheetView showGridLines="0" zoomScale="110" zoomScaleNormal="110" workbookViewId="0">
      <selection activeCell="H15" sqref="H15"/>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t="s">
        <v>95</v>
      </c>
      <c r="AD2" s="332"/>
      <c r="AE2" s="332"/>
      <c r="AF2" s="332"/>
      <c r="AG2" s="332"/>
      <c r="AH2" s="333"/>
      <c r="AI2" s="40"/>
      <c r="AJ2" s="40"/>
    </row>
    <row r="3" spans="2:53" ht="23.25" customHeight="1" x14ac:dyDescent="0.25">
      <c r="B3" s="323" t="s">
        <v>95</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33</v>
      </c>
      <c r="E5" s="247">
        <v>43</v>
      </c>
      <c r="F5" s="247">
        <v>45</v>
      </c>
      <c r="G5" s="247">
        <v>39</v>
      </c>
      <c r="H5" s="247">
        <v>38</v>
      </c>
      <c r="I5" s="247">
        <v>39</v>
      </c>
      <c r="J5" s="247">
        <v>39</v>
      </c>
      <c r="K5" s="247">
        <v>37</v>
      </c>
      <c r="L5" s="247">
        <v>37</v>
      </c>
      <c r="M5" s="247">
        <v>40</v>
      </c>
      <c r="N5" s="247">
        <v>40</v>
      </c>
      <c r="O5" s="247">
        <v>40</v>
      </c>
      <c r="P5" s="247">
        <v>39</v>
      </c>
      <c r="Q5" s="247">
        <v>37</v>
      </c>
      <c r="R5" s="247">
        <v>37</v>
      </c>
      <c r="S5" s="247">
        <v>38</v>
      </c>
      <c r="T5" s="247">
        <v>45</v>
      </c>
      <c r="U5" s="247">
        <v>39</v>
      </c>
      <c r="V5" s="247">
        <v>41</v>
      </c>
      <c r="W5" s="247">
        <v>39</v>
      </c>
      <c r="X5" s="247">
        <v>37</v>
      </c>
      <c r="Y5" s="247">
        <v>38</v>
      </c>
      <c r="Z5" s="247">
        <v>38</v>
      </c>
      <c r="AA5" s="247">
        <v>45</v>
      </c>
      <c r="AB5" s="247">
        <v>39</v>
      </c>
      <c r="AC5" s="247">
        <v>41</v>
      </c>
      <c r="AD5" s="247">
        <v>39</v>
      </c>
      <c r="AE5" s="247">
        <v>37</v>
      </c>
      <c r="AF5" s="247">
        <v>38</v>
      </c>
      <c r="AG5" s="247">
        <v>38</v>
      </c>
      <c r="AH5" s="248">
        <v>45</v>
      </c>
    </row>
    <row r="6" spans="2:53" s="40" customFormat="1" ht="18" customHeight="1" x14ac:dyDescent="0.3">
      <c r="B6" s="324"/>
      <c r="C6" s="239" t="s">
        <v>11</v>
      </c>
      <c r="D6" s="163">
        <v>12</v>
      </c>
      <c r="E6" s="163">
        <v>16</v>
      </c>
      <c r="F6" s="163">
        <v>16</v>
      </c>
      <c r="G6" s="163">
        <v>12</v>
      </c>
      <c r="H6" s="163">
        <v>12</v>
      </c>
      <c r="I6" s="163">
        <v>12</v>
      </c>
      <c r="J6" s="163">
        <v>16</v>
      </c>
      <c r="K6" s="163">
        <v>16</v>
      </c>
      <c r="L6" s="163">
        <v>16</v>
      </c>
      <c r="M6" s="163">
        <v>16</v>
      </c>
      <c r="N6" s="163">
        <v>12</v>
      </c>
      <c r="O6" s="163">
        <v>12</v>
      </c>
      <c r="P6" s="163">
        <v>16</v>
      </c>
      <c r="Q6" s="163">
        <v>16</v>
      </c>
      <c r="R6" s="163">
        <v>16</v>
      </c>
      <c r="S6" s="163">
        <v>16</v>
      </c>
      <c r="T6" s="163">
        <v>16</v>
      </c>
      <c r="U6" s="163">
        <v>12</v>
      </c>
      <c r="V6" s="163">
        <v>12</v>
      </c>
      <c r="W6" s="163">
        <v>16</v>
      </c>
      <c r="X6" s="163">
        <v>16</v>
      </c>
      <c r="Y6" s="163">
        <v>16</v>
      </c>
      <c r="Z6" s="163">
        <v>16</v>
      </c>
      <c r="AA6" s="163">
        <v>16</v>
      </c>
      <c r="AB6" s="163">
        <v>12</v>
      </c>
      <c r="AC6" s="163">
        <v>12</v>
      </c>
      <c r="AD6" s="163">
        <v>16</v>
      </c>
      <c r="AE6" s="163">
        <v>16</v>
      </c>
      <c r="AF6" s="163">
        <v>16</v>
      </c>
      <c r="AG6" s="163">
        <v>16</v>
      </c>
      <c r="AH6" s="240">
        <v>16</v>
      </c>
    </row>
    <row r="7" spans="2:53" s="40" customFormat="1" ht="18" customHeight="1" thickBot="1" x14ac:dyDescent="0.35">
      <c r="B7" s="325"/>
      <c r="C7" s="244" t="s">
        <v>3</v>
      </c>
      <c r="D7" s="245">
        <f>D5+D6</f>
        <v>45</v>
      </c>
      <c r="E7" s="245">
        <f t="shared" ref="E7:AH7" si="0">E5+E6</f>
        <v>59</v>
      </c>
      <c r="F7" s="245">
        <f t="shared" si="0"/>
        <v>61</v>
      </c>
      <c r="G7" s="245">
        <f t="shared" si="0"/>
        <v>51</v>
      </c>
      <c r="H7" s="245">
        <f t="shared" si="0"/>
        <v>50</v>
      </c>
      <c r="I7" s="245">
        <f t="shared" si="0"/>
        <v>51</v>
      </c>
      <c r="J7" s="245">
        <f t="shared" si="0"/>
        <v>55</v>
      </c>
      <c r="K7" s="245">
        <f t="shared" si="0"/>
        <v>53</v>
      </c>
      <c r="L7" s="245">
        <f t="shared" si="0"/>
        <v>53</v>
      </c>
      <c r="M7" s="245">
        <f t="shared" si="0"/>
        <v>56</v>
      </c>
      <c r="N7" s="245">
        <f t="shared" si="0"/>
        <v>52</v>
      </c>
      <c r="O7" s="245">
        <f t="shared" si="0"/>
        <v>52</v>
      </c>
      <c r="P7" s="245">
        <f t="shared" si="0"/>
        <v>55</v>
      </c>
      <c r="Q7" s="245">
        <f t="shared" si="0"/>
        <v>53</v>
      </c>
      <c r="R7" s="245">
        <f t="shared" si="0"/>
        <v>53</v>
      </c>
      <c r="S7" s="245">
        <f t="shared" si="0"/>
        <v>54</v>
      </c>
      <c r="T7" s="245">
        <f t="shared" si="0"/>
        <v>61</v>
      </c>
      <c r="U7" s="245">
        <f t="shared" si="0"/>
        <v>51</v>
      </c>
      <c r="V7" s="245">
        <f t="shared" si="0"/>
        <v>53</v>
      </c>
      <c r="W7" s="245">
        <f t="shared" si="0"/>
        <v>55</v>
      </c>
      <c r="X7" s="245">
        <f t="shared" si="0"/>
        <v>53</v>
      </c>
      <c r="Y7" s="245">
        <f t="shared" si="0"/>
        <v>54</v>
      </c>
      <c r="Z7" s="245">
        <f t="shared" si="0"/>
        <v>54</v>
      </c>
      <c r="AA7" s="245">
        <f t="shared" si="0"/>
        <v>61</v>
      </c>
      <c r="AB7" s="245">
        <f t="shared" si="0"/>
        <v>51</v>
      </c>
      <c r="AC7" s="245">
        <f t="shared" si="0"/>
        <v>53</v>
      </c>
      <c r="AD7" s="245">
        <f t="shared" si="0"/>
        <v>55</v>
      </c>
      <c r="AE7" s="245">
        <f t="shared" si="0"/>
        <v>53</v>
      </c>
      <c r="AF7" s="245">
        <f t="shared" si="0"/>
        <v>54</v>
      </c>
      <c r="AG7" s="245">
        <f t="shared" si="0"/>
        <v>54</v>
      </c>
      <c r="AH7" s="246">
        <f t="shared" si="0"/>
        <v>61</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B232E-2F71-440F-B999-F17EF2358084}">
  <sheetPr codeName="Hoja35">
    <pageSetUpPr fitToPage="1"/>
  </sheetPr>
  <dimension ref="B1:BA37"/>
  <sheetViews>
    <sheetView showGridLines="0" zoomScale="110" zoomScaleNormal="110" workbookViewId="0">
      <selection activeCell="AF16" sqref="AF16"/>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v>45713</v>
      </c>
      <c r="AD2" s="332"/>
      <c r="AE2" s="332"/>
      <c r="AF2" s="332"/>
      <c r="AG2" s="332"/>
      <c r="AH2" s="333"/>
      <c r="AI2" s="40"/>
      <c r="AJ2" s="40"/>
    </row>
    <row r="3" spans="2:53" ht="23.25" customHeight="1" x14ac:dyDescent="0.25">
      <c r="B3" s="323">
        <v>45713</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39</v>
      </c>
      <c r="E5" s="247">
        <v>41</v>
      </c>
      <c r="F5" s="247">
        <v>41</v>
      </c>
      <c r="G5" s="247">
        <v>38</v>
      </c>
      <c r="H5" s="247">
        <v>38</v>
      </c>
      <c r="I5" s="247">
        <v>40</v>
      </c>
      <c r="J5" s="247">
        <v>46</v>
      </c>
      <c r="K5" s="247">
        <v>39</v>
      </c>
      <c r="L5" s="247">
        <v>41</v>
      </c>
      <c r="M5" s="247">
        <v>41</v>
      </c>
      <c r="N5" s="247">
        <v>37</v>
      </c>
      <c r="O5" s="247">
        <v>38</v>
      </c>
      <c r="P5" s="247">
        <v>40</v>
      </c>
      <c r="Q5" s="247">
        <v>46</v>
      </c>
      <c r="R5" s="247">
        <v>39</v>
      </c>
      <c r="S5" s="247">
        <v>41</v>
      </c>
      <c r="T5" s="247">
        <v>41</v>
      </c>
      <c r="U5" s="247">
        <v>37</v>
      </c>
      <c r="V5" s="247">
        <v>38</v>
      </c>
      <c r="W5" s="247">
        <v>40</v>
      </c>
      <c r="X5" s="247">
        <v>46</v>
      </c>
      <c r="Y5" s="247">
        <v>39</v>
      </c>
      <c r="Z5" s="247">
        <v>41</v>
      </c>
      <c r="AA5" s="247">
        <v>41</v>
      </c>
      <c r="AB5" s="247">
        <v>37</v>
      </c>
      <c r="AC5" s="247">
        <v>38</v>
      </c>
      <c r="AD5" s="247">
        <v>42</v>
      </c>
      <c r="AE5" s="247">
        <v>46</v>
      </c>
      <c r="AF5" s="247"/>
      <c r="AG5" s="247"/>
      <c r="AH5" s="248"/>
    </row>
    <row r="6" spans="2:53" s="40" customFormat="1" ht="18" customHeight="1" x14ac:dyDescent="0.3">
      <c r="B6" s="324"/>
      <c r="C6" s="239" t="s">
        <v>11</v>
      </c>
      <c r="D6" s="163">
        <v>12</v>
      </c>
      <c r="E6" s="163">
        <v>12</v>
      </c>
      <c r="F6" s="163">
        <v>16</v>
      </c>
      <c r="G6" s="163">
        <v>16</v>
      </c>
      <c r="H6" s="163">
        <v>16</v>
      </c>
      <c r="I6" s="163">
        <v>16</v>
      </c>
      <c r="J6" s="163">
        <v>16</v>
      </c>
      <c r="K6" s="163">
        <v>12</v>
      </c>
      <c r="L6" s="163">
        <v>12</v>
      </c>
      <c r="M6" s="163">
        <v>16</v>
      </c>
      <c r="N6" s="163">
        <v>16</v>
      </c>
      <c r="O6" s="163">
        <v>16</v>
      </c>
      <c r="P6" s="163">
        <v>16</v>
      </c>
      <c r="Q6" s="163">
        <v>16</v>
      </c>
      <c r="R6" s="163">
        <v>12</v>
      </c>
      <c r="S6" s="163">
        <v>12</v>
      </c>
      <c r="T6" s="163">
        <v>16</v>
      </c>
      <c r="U6" s="163">
        <v>16</v>
      </c>
      <c r="V6" s="163">
        <v>16</v>
      </c>
      <c r="W6" s="163">
        <v>16</v>
      </c>
      <c r="X6" s="163">
        <v>16</v>
      </c>
      <c r="Y6" s="163">
        <v>12</v>
      </c>
      <c r="Z6" s="163">
        <v>12</v>
      </c>
      <c r="AA6" s="163">
        <v>16</v>
      </c>
      <c r="AB6" s="163">
        <v>16</v>
      </c>
      <c r="AC6" s="163">
        <v>16</v>
      </c>
      <c r="AD6" s="163">
        <v>16</v>
      </c>
      <c r="AE6" s="163">
        <v>16</v>
      </c>
      <c r="AF6" s="163"/>
      <c r="AG6" s="163"/>
      <c r="AH6" s="240"/>
    </row>
    <row r="7" spans="2:53" s="40" customFormat="1" ht="18" customHeight="1" thickBot="1" x14ac:dyDescent="0.35">
      <c r="B7" s="325"/>
      <c r="C7" s="244" t="s">
        <v>3</v>
      </c>
      <c r="D7" s="245">
        <f>D5+D6</f>
        <v>51</v>
      </c>
      <c r="E7" s="245">
        <f t="shared" ref="E7:AH7" si="0">E5+E6</f>
        <v>53</v>
      </c>
      <c r="F7" s="245">
        <f t="shared" si="0"/>
        <v>57</v>
      </c>
      <c r="G7" s="245">
        <f t="shared" si="0"/>
        <v>54</v>
      </c>
      <c r="H7" s="245">
        <f t="shared" si="0"/>
        <v>54</v>
      </c>
      <c r="I7" s="245">
        <f t="shared" si="0"/>
        <v>56</v>
      </c>
      <c r="J7" s="245">
        <f t="shared" si="0"/>
        <v>62</v>
      </c>
      <c r="K7" s="245">
        <f t="shared" si="0"/>
        <v>51</v>
      </c>
      <c r="L7" s="245">
        <f t="shared" si="0"/>
        <v>53</v>
      </c>
      <c r="M7" s="245">
        <f t="shared" si="0"/>
        <v>57</v>
      </c>
      <c r="N7" s="245">
        <f t="shared" si="0"/>
        <v>53</v>
      </c>
      <c r="O7" s="245">
        <f t="shared" si="0"/>
        <v>54</v>
      </c>
      <c r="P7" s="245">
        <f t="shared" si="0"/>
        <v>56</v>
      </c>
      <c r="Q7" s="245">
        <f t="shared" si="0"/>
        <v>62</v>
      </c>
      <c r="R7" s="245">
        <f t="shared" si="0"/>
        <v>51</v>
      </c>
      <c r="S7" s="245">
        <f t="shared" si="0"/>
        <v>53</v>
      </c>
      <c r="T7" s="245">
        <f t="shared" si="0"/>
        <v>57</v>
      </c>
      <c r="U7" s="245">
        <f t="shared" si="0"/>
        <v>53</v>
      </c>
      <c r="V7" s="245">
        <f t="shared" si="0"/>
        <v>54</v>
      </c>
      <c r="W7" s="245">
        <f t="shared" si="0"/>
        <v>56</v>
      </c>
      <c r="X7" s="245">
        <f t="shared" si="0"/>
        <v>62</v>
      </c>
      <c r="Y7" s="245">
        <f t="shared" si="0"/>
        <v>51</v>
      </c>
      <c r="Z7" s="245">
        <f t="shared" si="0"/>
        <v>53</v>
      </c>
      <c r="AA7" s="245">
        <f t="shared" si="0"/>
        <v>57</v>
      </c>
      <c r="AB7" s="245">
        <f t="shared" si="0"/>
        <v>53</v>
      </c>
      <c r="AC7" s="245">
        <f t="shared" si="0"/>
        <v>54</v>
      </c>
      <c r="AD7" s="245">
        <f t="shared" si="0"/>
        <v>58</v>
      </c>
      <c r="AE7" s="245">
        <f t="shared" si="0"/>
        <v>62</v>
      </c>
      <c r="AF7" s="245">
        <f t="shared" si="0"/>
        <v>0</v>
      </c>
      <c r="AG7" s="245">
        <f t="shared" si="0"/>
        <v>0</v>
      </c>
      <c r="AH7" s="246">
        <f t="shared" si="0"/>
        <v>0</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0BC5D-51BF-4F6A-9EE0-5234B609A042}">
  <sheetPr codeName="Hoja36">
    <pageSetUpPr fitToPage="1"/>
  </sheetPr>
  <dimension ref="B1:BA37"/>
  <sheetViews>
    <sheetView showGridLines="0" zoomScale="110" zoomScaleNormal="110" workbookViewId="0">
      <selection activeCell="D6" sqref="D6:AH6"/>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v>45741</v>
      </c>
      <c r="AD2" s="332"/>
      <c r="AE2" s="332"/>
      <c r="AF2" s="332"/>
      <c r="AG2" s="332"/>
      <c r="AH2" s="333"/>
      <c r="AI2" s="40"/>
      <c r="AJ2" s="40"/>
    </row>
    <row r="3" spans="2:53" ht="23.25" customHeight="1" x14ac:dyDescent="0.25">
      <c r="B3" s="323">
        <v>45741</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39</v>
      </c>
      <c r="E5" s="247">
        <v>41</v>
      </c>
      <c r="F5" s="247">
        <v>42</v>
      </c>
      <c r="G5" s="247">
        <v>39</v>
      </c>
      <c r="H5" s="247">
        <v>40</v>
      </c>
      <c r="I5" s="247">
        <v>44</v>
      </c>
      <c r="J5" s="247">
        <v>47</v>
      </c>
      <c r="K5" s="247">
        <v>39</v>
      </c>
      <c r="L5" s="247">
        <v>41</v>
      </c>
      <c r="M5" s="247">
        <v>42</v>
      </c>
      <c r="N5" s="247">
        <v>38</v>
      </c>
      <c r="O5" s="247">
        <v>40</v>
      </c>
      <c r="P5" s="247">
        <v>44</v>
      </c>
      <c r="Q5" s="247">
        <v>47</v>
      </c>
      <c r="R5" s="247">
        <v>39</v>
      </c>
      <c r="S5" s="247">
        <v>41</v>
      </c>
      <c r="T5" s="247">
        <v>40</v>
      </c>
      <c r="U5" s="247">
        <v>38</v>
      </c>
      <c r="V5" s="247">
        <v>40</v>
      </c>
      <c r="W5" s="247">
        <v>45</v>
      </c>
      <c r="X5" s="247">
        <v>47</v>
      </c>
      <c r="Y5" s="247">
        <v>39</v>
      </c>
      <c r="Z5" s="247">
        <v>41</v>
      </c>
      <c r="AA5" s="247">
        <v>42</v>
      </c>
      <c r="AB5" s="247">
        <v>38</v>
      </c>
      <c r="AC5" s="247">
        <v>39</v>
      </c>
      <c r="AD5" s="247">
        <v>44</v>
      </c>
      <c r="AE5" s="247">
        <v>47</v>
      </c>
      <c r="AF5" s="247">
        <v>39</v>
      </c>
      <c r="AG5" s="247">
        <v>41</v>
      </c>
      <c r="AH5" s="248">
        <v>44</v>
      </c>
    </row>
    <row r="6" spans="2:53" s="40" customFormat="1" ht="18" customHeight="1" x14ac:dyDescent="0.3">
      <c r="B6" s="324"/>
      <c r="C6" s="239" t="s">
        <v>11</v>
      </c>
      <c r="D6" s="163">
        <v>12</v>
      </c>
      <c r="E6" s="163">
        <v>12</v>
      </c>
      <c r="F6" s="163">
        <v>16</v>
      </c>
      <c r="G6" s="163">
        <v>16</v>
      </c>
      <c r="H6" s="163">
        <v>16</v>
      </c>
      <c r="I6" s="163">
        <v>16</v>
      </c>
      <c r="J6" s="163">
        <v>16</v>
      </c>
      <c r="K6" s="163">
        <v>12</v>
      </c>
      <c r="L6" s="163">
        <v>12</v>
      </c>
      <c r="M6" s="163">
        <v>16</v>
      </c>
      <c r="N6" s="163">
        <v>16</v>
      </c>
      <c r="O6" s="163">
        <v>16</v>
      </c>
      <c r="P6" s="163">
        <v>16</v>
      </c>
      <c r="Q6" s="163">
        <v>16</v>
      </c>
      <c r="R6" s="163">
        <v>12</v>
      </c>
      <c r="S6" s="163">
        <v>12</v>
      </c>
      <c r="T6" s="163">
        <v>16</v>
      </c>
      <c r="U6" s="163">
        <v>16</v>
      </c>
      <c r="V6" s="163">
        <v>12</v>
      </c>
      <c r="W6" s="163">
        <v>16</v>
      </c>
      <c r="X6" s="163">
        <v>16</v>
      </c>
      <c r="Y6" s="163">
        <v>12</v>
      </c>
      <c r="Z6" s="163">
        <v>12</v>
      </c>
      <c r="AA6" s="163">
        <v>16</v>
      </c>
      <c r="AB6" s="163">
        <v>16</v>
      </c>
      <c r="AC6" s="163">
        <v>16</v>
      </c>
      <c r="AD6" s="163">
        <v>16</v>
      </c>
      <c r="AE6" s="163">
        <v>16</v>
      </c>
      <c r="AF6" s="163">
        <v>12</v>
      </c>
      <c r="AG6" s="163">
        <v>12</v>
      </c>
      <c r="AH6" s="240">
        <v>16</v>
      </c>
    </row>
    <row r="7" spans="2:53" s="40" customFormat="1" ht="18" customHeight="1" thickBot="1" x14ac:dyDescent="0.35">
      <c r="B7" s="325"/>
      <c r="C7" s="244" t="s">
        <v>3</v>
      </c>
      <c r="D7" s="245">
        <f>D5+D6</f>
        <v>51</v>
      </c>
      <c r="E7" s="245">
        <f t="shared" ref="E7:AH7" si="0">E5+E6</f>
        <v>53</v>
      </c>
      <c r="F7" s="245">
        <f t="shared" si="0"/>
        <v>58</v>
      </c>
      <c r="G7" s="245">
        <f t="shared" si="0"/>
        <v>55</v>
      </c>
      <c r="H7" s="245">
        <f t="shared" si="0"/>
        <v>56</v>
      </c>
      <c r="I7" s="245">
        <f t="shared" si="0"/>
        <v>60</v>
      </c>
      <c r="J7" s="245">
        <f t="shared" si="0"/>
        <v>63</v>
      </c>
      <c r="K7" s="245">
        <f t="shared" si="0"/>
        <v>51</v>
      </c>
      <c r="L7" s="245">
        <f t="shared" si="0"/>
        <v>53</v>
      </c>
      <c r="M7" s="245">
        <f t="shared" si="0"/>
        <v>58</v>
      </c>
      <c r="N7" s="245">
        <f t="shared" si="0"/>
        <v>54</v>
      </c>
      <c r="O7" s="245">
        <f t="shared" si="0"/>
        <v>56</v>
      </c>
      <c r="P7" s="245">
        <f t="shared" si="0"/>
        <v>60</v>
      </c>
      <c r="Q7" s="245">
        <f t="shared" si="0"/>
        <v>63</v>
      </c>
      <c r="R7" s="245">
        <f t="shared" si="0"/>
        <v>51</v>
      </c>
      <c r="S7" s="245">
        <f t="shared" si="0"/>
        <v>53</v>
      </c>
      <c r="T7" s="245">
        <f t="shared" si="0"/>
        <v>56</v>
      </c>
      <c r="U7" s="245">
        <f t="shared" si="0"/>
        <v>54</v>
      </c>
      <c r="V7" s="245">
        <f t="shared" si="0"/>
        <v>52</v>
      </c>
      <c r="W7" s="245">
        <f t="shared" si="0"/>
        <v>61</v>
      </c>
      <c r="X7" s="245">
        <f t="shared" si="0"/>
        <v>63</v>
      </c>
      <c r="Y7" s="245">
        <f t="shared" si="0"/>
        <v>51</v>
      </c>
      <c r="Z7" s="245">
        <f t="shared" si="0"/>
        <v>53</v>
      </c>
      <c r="AA7" s="245">
        <f t="shared" si="0"/>
        <v>58</v>
      </c>
      <c r="AB7" s="245">
        <f t="shared" si="0"/>
        <v>54</v>
      </c>
      <c r="AC7" s="245">
        <f t="shared" si="0"/>
        <v>55</v>
      </c>
      <c r="AD7" s="245">
        <f t="shared" si="0"/>
        <v>60</v>
      </c>
      <c r="AE7" s="245">
        <f t="shared" si="0"/>
        <v>63</v>
      </c>
      <c r="AF7" s="245">
        <f t="shared" si="0"/>
        <v>51</v>
      </c>
      <c r="AG7" s="245">
        <f t="shared" si="0"/>
        <v>53</v>
      </c>
      <c r="AH7" s="246">
        <f t="shared" si="0"/>
        <v>60</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4A6CB-9D3B-4ECF-B12C-02ADCC1BD9CB}">
  <sheetPr codeName="Hoja37">
    <pageSetUpPr fitToPage="1"/>
  </sheetPr>
  <dimension ref="B1:BA37"/>
  <sheetViews>
    <sheetView showGridLines="0" zoomScale="110" zoomScaleNormal="110" workbookViewId="0">
      <selection activeCell="G2" sqref="G2:AB2"/>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t="s">
        <v>111</v>
      </c>
      <c r="AD2" s="332"/>
      <c r="AE2" s="332"/>
      <c r="AF2" s="332"/>
      <c r="AG2" s="332"/>
      <c r="AH2" s="333"/>
      <c r="AI2" s="40"/>
      <c r="AJ2" s="40"/>
    </row>
    <row r="3" spans="2:53" ht="23.25" customHeight="1" x14ac:dyDescent="0.25">
      <c r="B3" s="323" t="s">
        <v>111</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34</v>
      </c>
      <c r="E5" s="247">
        <v>40</v>
      </c>
      <c r="F5" s="247">
        <v>44</v>
      </c>
      <c r="G5" s="247">
        <v>47</v>
      </c>
      <c r="H5" s="247">
        <v>39</v>
      </c>
      <c r="I5" s="247">
        <v>41</v>
      </c>
      <c r="J5" s="247">
        <v>42</v>
      </c>
      <c r="K5" s="247">
        <v>39</v>
      </c>
      <c r="L5" s="247">
        <v>40</v>
      </c>
      <c r="M5" s="247">
        <v>44</v>
      </c>
      <c r="N5" s="247">
        <v>49</v>
      </c>
      <c r="O5" s="247">
        <v>41</v>
      </c>
      <c r="P5" s="247">
        <v>45</v>
      </c>
      <c r="Q5" s="247">
        <v>44</v>
      </c>
      <c r="R5" s="247">
        <v>44</v>
      </c>
      <c r="S5" s="247">
        <v>44</v>
      </c>
      <c r="T5" s="247">
        <v>49</v>
      </c>
      <c r="U5" s="247">
        <v>46</v>
      </c>
      <c r="V5" s="247">
        <v>41</v>
      </c>
      <c r="W5" s="247">
        <v>45</v>
      </c>
      <c r="X5" s="247">
        <v>44</v>
      </c>
      <c r="Y5" s="247">
        <v>44</v>
      </c>
      <c r="Z5" s="247">
        <v>44</v>
      </c>
      <c r="AA5" s="247">
        <v>44</v>
      </c>
      <c r="AB5" s="247">
        <v>47</v>
      </c>
      <c r="AC5" s="247">
        <v>39</v>
      </c>
      <c r="AD5" s="247">
        <v>43</v>
      </c>
      <c r="AE5" s="247">
        <v>20</v>
      </c>
      <c r="AF5" s="247">
        <v>43</v>
      </c>
      <c r="AG5" s="247">
        <v>45</v>
      </c>
      <c r="AH5" s="248">
        <v>1271</v>
      </c>
    </row>
    <row r="6" spans="2:53" s="40" customFormat="1" ht="18" customHeight="1" x14ac:dyDescent="0.3">
      <c r="B6" s="324"/>
      <c r="C6" s="239" t="s">
        <v>11</v>
      </c>
      <c r="D6" s="163">
        <v>16</v>
      </c>
      <c r="E6" s="163">
        <v>16</v>
      </c>
      <c r="F6" s="163">
        <v>16</v>
      </c>
      <c r="G6" s="163">
        <v>16</v>
      </c>
      <c r="H6" s="163">
        <v>12</v>
      </c>
      <c r="I6" s="163">
        <v>12</v>
      </c>
      <c r="J6" s="163">
        <v>16</v>
      </c>
      <c r="K6" s="163">
        <v>16</v>
      </c>
      <c r="L6" s="163">
        <v>16</v>
      </c>
      <c r="M6" s="163">
        <v>16</v>
      </c>
      <c r="N6" s="163">
        <v>16</v>
      </c>
      <c r="O6" s="163">
        <v>12</v>
      </c>
      <c r="P6" s="163">
        <v>12</v>
      </c>
      <c r="Q6" s="163">
        <v>16</v>
      </c>
      <c r="R6" s="163">
        <v>16</v>
      </c>
      <c r="S6" s="163">
        <v>16</v>
      </c>
      <c r="T6" s="163">
        <v>16</v>
      </c>
      <c r="U6" s="163">
        <v>12</v>
      </c>
      <c r="V6" s="163">
        <v>12</v>
      </c>
      <c r="W6" s="163">
        <v>12</v>
      </c>
      <c r="X6" s="163">
        <v>16</v>
      </c>
      <c r="Y6" s="163">
        <v>16</v>
      </c>
      <c r="Z6" s="163">
        <v>16</v>
      </c>
      <c r="AA6" s="163">
        <v>16</v>
      </c>
      <c r="AB6" s="163">
        <v>16</v>
      </c>
      <c r="AC6" s="163">
        <v>12</v>
      </c>
      <c r="AD6" s="163">
        <v>12</v>
      </c>
      <c r="AE6" s="163">
        <v>6</v>
      </c>
      <c r="AF6" s="163">
        <v>16</v>
      </c>
      <c r="AG6" s="163">
        <v>16</v>
      </c>
      <c r="AH6" s="240">
        <v>434</v>
      </c>
    </row>
    <row r="7" spans="2:53" s="40" customFormat="1" ht="18" customHeight="1" thickBot="1" x14ac:dyDescent="0.35">
      <c r="B7" s="325"/>
      <c r="C7" s="244" t="s">
        <v>3</v>
      </c>
      <c r="D7" s="245">
        <f>D5+D6</f>
        <v>50</v>
      </c>
      <c r="E7" s="245">
        <f t="shared" ref="E7:AH7" si="0">E5+E6</f>
        <v>56</v>
      </c>
      <c r="F7" s="245">
        <f t="shared" si="0"/>
        <v>60</v>
      </c>
      <c r="G7" s="245">
        <f t="shared" si="0"/>
        <v>63</v>
      </c>
      <c r="H7" s="245">
        <f t="shared" si="0"/>
        <v>51</v>
      </c>
      <c r="I7" s="245">
        <f t="shared" si="0"/>
        <v>53</v>
      </c>
      <c r="J7" s="245">
        <f t="shared" si="0"/>
        <v>58</v>
      </c>
      <c r="K7" s="245">
        <f t="shared" si="0"/>
        <v>55</v>
      </c>
      <c r="L7" s="245">
        <f t="shared" si="0"/>
        <v>56</v>
      </c>
      <c r="M7" s="245">
        <f t="shared" si="0"/>
        <v>60</v>
      </c>
      <c r="N7" s="245">
        <f t="shared" si="0"/>
        <v>65</v>
      </c>
      <c r="O7" s="245">
        <f t="shared" si="0"/>
        <v>53</v>
      </c>
      <c r="P7" s="245">
        <f t="shared" si="0"/>
        <v>57</v>
      </c>
      <c r="Q7" s="245">
        <f t="shared" si="0"/>
        <v>60</v>
      </c>
      <c r="R7" s="245">
        <f t="shared" si="0"/>
        <v>60</v>
      </c>
      <c r="S7" s="245">
        <f t="shared" si="0"/>
        <v>60</v>
      </c>
      <c r="T7" s="245">
        <f t="shared" si="0"/>
        <v>65</v>
      </c>
      <c r="U7" s="245">
        <f t="shared" si="0"/>
        <v>58</v>
      </c>
      <c r="V7" s="245">
        <f t="shared" si="0"/>
        <v>53</v>
      </c>
      <c r="W7" s="245">
        <f t="shared" si="0"/>
        <v>57</v>
      </c>
      <c r="X7" s="245">
        <f t="shared" si="0"/>
        <v>60</v>
      </c>
      <c r="Y7" s="245">
        <f t="shared" si="0"/>
        <v>60</v>
      </c>
      <c r="Z7" s="245">
        <f t="shared" si="0"/>
        <v>60</v>
      </c>
      <c r="AA7" s="245">
        <f t="shared" si="0"/>
        <v>60</v>
      </c>
      <c r="AB7" s="245">
        <f t="shared" si="0"/>
        <v>63</v>
      </c>
      <c r="AC7" s="245">
        <f t="shared" si="0"/>
        <v>51</v>
      </c>
      <c r="AD7" s="245">
        <f t="shared" si="0"/>
        <v>55</v>
      </c>
      <c r="AE7" s="245">
        <f t="shared" si="0"/>
        <v>26</v>
      </c>
      <c r="AF7" s="245">
        <f t="shared" si="0"/>
        <v>59</v>
      </c>
      <c r="AG7" s="245">
        <f t="shared" si="0"/>
        <v>61</v>
      </c>
      <c r="AH7" s="246">
        <f t="shared" si="0"/>
        <v>1705</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BD31-B801-4A7E-A8ED-FD5DFCB16334}">
  <sheetPr codeName="Hoja38">
    <pageSetUpPr fitToPage="1"/>
  </sheetPr>
  <dimension ref="B1:BA37"/>
  <sheetViews>
    <sheetView showGridLines="0" zoomScale="110" zoomScaleNormal="110" workbookViewId="0">
      <selection activeCell="D6" sqref="D6:AH6"/>
    </sheetView>
  </sheetViews>
  <sheetFormatPr baseColWidth="10" defaultColWidth="11.44140625" defaultRowHeight="13.2" x14ac:dyDescent="0.25"/>
  <cols>
    <col min="1" max="1" width="2.21875" style="38" customWidth="1"/>
    <col min="2" max="2" width="6.21875" style="38" customWidth="1"/>
    <col min="3" max="3" width="10.21875" style="38" customWidth="1"/>
    <col min="4" max="4" width="6.44140625" style="38" bestFit="1" customWidth="1"/>
    <col min="5" max="34" width="6.5546875" style="38" customWidth="1"/>
    <col min="35" max="35" width="7" style="38" bestFit="1" customWidth="1"/>
    <col min="36" max="36" width="4.77734375" style="38" bestFit="1" customWidth="1"/>
    <col min="37" max="37" width="3.77734375" style="38" customWidth="1"/>
    <col min="38" max="38" width="7.77734375" style="38" customWidth="1"/>
    <col min="39" max="16384" width="11.44140625" style="38"/>
  </cols>
  <sheetData>
    <row r="1" spans="2:53" ht="22.05" customHeight="1" thickBot="1" x14ac:dyDescent="0.3"/>
    <row r="2" spans="2:53" ht="68.55" customHeight="1" thickBot="1" x14ac:dyDescent="0.3">
      <c r="B2" s="328"/>
      <c r="C2" s="329"/>
      <c r="D2" s="329"/>
      <c r="E2" s="329"/>
      <c r="F2" s="330"/>
      <c r="G2" s="334" t="s">
        <v>15</v>
      </c>
      <c r="H2" s="335"/>
      <c r="I2" s="335"/>
      <c r="J2" s="335"/>
      <c r="K2" s="335"/>
      <c r="L2" s="335"/>
      <c r="M2" s="335"/>
      <c r="N2" s="335"/>
      <c r="O2" s="335"/>
      <c r="P2" s="335"/>
      <c r="Q2" s="335"/>
      <c r="R2" s="335"/>
      <c r="S2" s="335"/>
      <c r="T2" s="335"/>
      <c r="U2" s="335"/>
      <c r="V2" s="335"/>
      <c r="W2" s="335"/>
      <c r="X2" s="335"/>
      <c r="Y2" s="335"/>
      <c r="Z2" s="335"/>
      <c r="AA2" s="335"/>
      <c r="AB2" s="336"/>
      <c r="AC2" s="331">
        <v>45802</v>
      </c>
      <c r="AD2" s="332"/>
      <c r="AE2" s="332"/>
      <c r="AF2" s="332"/>
      <c r="AG2" s="332"/>
      <c r="AH2" s="333"/>
      <c r="AI2" s="40"/>
      <c r="AJ2" s="40"/>
    </row>
    <row r="3" spans="2:53" ht="23.25" customHeight="1" x14ac:dyDescent="0.25">
      <c r="B3" s="323">
        <v>45802</v>
      </c>
      <c r="C3" s="165"/>
      <c r="D3" s="321" t="s">
        <v>2</v>
      </c>
      <c r="E3" s="321"/>
      <c r="F3" s="321"/>
      <c r="G3" s="321"/>
      <c r="H3" s="321"/>
      <c r="I3" s="321"/>
      <c r="J3" s="321"/>
      <c r="K3" s="321"/>
      <c r="L3" s="321"/>
      <c r="M3" s="321"/>
      <c r="N3" s="321"/>
      <c r="O3" s="321"/>
      <c r="P3" s="321"/>
      <c r="Q3" s="321"/>
      <c r="R3" s="321"/>
      <c r="S3" s="321"/>
      <c r="T3" s="321"/>
      <c r="U3" s="321"/>
      <c r="V3" s="321"/>
      <c r="W3" s="321"/>
      <c r="X3" s="321"/>
      <c r="Y3" s="321"/>
      <c r="Z3" s="321"/>
      <c r="AA3" s="321"/>
      <c r="AB3" s="321"/>
      <c r="AC3" s="321"/>
      <c r="AD3" s="321"/>
      <c r="AE3" s="321"/>
      <c r="AF3" s="321"/>
      <c r="AG3" s="321"/>
      <c r="AH3" s="322"/>
      <c r="AI3" s="40"/>
      <c r="AJ3" s="40"/>
    </row>
    <row r="4" spans="2:53" s="40" customFormat="1" ht="18" customHeight="1" x14ac:dyDescent="0.3">
      <c r="B4" s="324"/>
      <c r="C4" s="241" t="s">
        <v>12</v>
      </c>
      <c r="D4" s="242" t="s">
        <v>16</v>
      </c>
      <c r="E4" s="242" t="s">
        <v>17</v>
      </c>
      <c r="F4" s="242" t="s">
        <v>18</v>
      </c>
      <c r="G4" s="242" t="s">
        <v>19</v>
      </c>
      <c r="H4" s="242" t="s">
        <v>20</v>
      </c>
      <c r="I4" s="242" t="s">
        <v>21</v>
      </c>
      <c r="J4" s="242" t="s">
        <v>22</v>
      </c>
      <c r="K4" s="242" t="s">
        <v>23</v>
      </c>
      <c r="L4" s="242" t="s">
        <v>24</v>
      </c>
      <c r="M4" s="242" t="s">
        <v>25</v>
      </c>
      <c r="N4" s="242" t="s">
        <v>26</v>
      </c>
      <c r="O4" s="242" t="s">
        <v>27</v>
      </c>
      <c r="P4" s="242" t="s">
        <v>28</v>
      </c>
      <c r="Q4" s="242" t="s">
        <v>29</v>
      </c>
      <c r="R4" s="242" t="s">
        <v>30</v>
      </c>
      <c r="S4" s="242" t="s">
        <v>31</v>
      </c>
      <c r="T4" s="242" t="s">
        <v>32</v>
      </c>
      <c r="U4" s="242" t="s">
        <v>33</v>
      </c>
      <c r="V4" s="242" t="s">
        <v>34</v>
      </c>
      <c r="W4" s="242" t="s">
        <v>35</v>
      </c>
      <c r="X4" s="242" t="s">
        <v>36</v>
      </c>
      <c r="Y4" s="242" t="s">
        <v>37</v>
      </c>
      <c r="Z4" s="242" t="s">
        <v>38</v>
      </c>
      <c r="AA4" s="242" t="s">
        <v>39</v>
      </c>
      <c r="AB4" s="242" t="s">
        <v>40</v>
      </c>
      <c r="AC4" s="242" t="s">
        <v>41</v>
      </c>
      <c r="AD4" s="242" t="s">
        <v>42</v>
      </c>
      <c r="AE4" s="242" t="s">
        <v>43</v>
      </c>
      <c r="AF4" s="242" t="s">
        <v>44</v>
      </c>
      <c r="AG4" s="242" t="s">
        <v>45</v>
      </c>
      <c r="AH4" s="243" t="s">
        <v>46</v>
      </c>
    </row>
    <row r="5" spans="2:53" s="40" customFormat="1" ht="18" customHeight="1" x14ac:dyDescent="0.3">
      <c r="B5" s="324"/>
      <c r="C5" s="239" t="s">
        <v>7</v>
      </c>
      <c r="D5" s="247">
        <v>40</v>
      </c>
      <c r="E5" s="247">
        <v>37</v>
      </c>
      <c r="F5" s="247">
        <v>39</v>
      </c>
      <c r="G5" s="247">
        <v>43</v>
      </c>
      <c r="H5" s="247">
        <v>43</v>
      </c>
      <c r="I5" s="247">
        <v>38</v>
      </c>
      <c r="J5" s="247">
        <v>39</v>
      </c>
      <c r="K5" s="247">
        <v>44</v>
      </c>
      <c r="L5" s="247">
        <v>47</v>
      </c>
      <c r="M5" s="247">
        <v>39</v>
      </c>
      <c r="N5" s="247">
        <v>43</v>
      </c>
      <c r="O5" s="247">
        <v>42</v>
      </c>
      <c r="P5" s="247">
        <v>38</v>
      </c>
      <c r="Q5" s="247">
        <v>38</v>
      </c>
      <c r="R5" s="247">
        <v>41</v>
      </c>
      <c r="S5" s="247">
        <v>47</v>
      </c>
      <c r="T5" s="247">
        <v>39</v>
      </c>
      <c r="U5" s="247">
        <v>43</v>
      </c>
      <c r="V5" s="247">
        <v>43</v>
      </c>
      <c r="W5" s="247">
        <v>38</v>
      </c>
      <c r="X5" s="247">
        <v>40</v>
      </c>
      <c r="Y5" s="247">
        <v>44</v>
      </c>
      <c r="Z5" s="247">
        <v>47</v>
      </c>
      <c r="AA5" s="247">
        <v>39</v>
      </c>
      <c r="AB5" s="247">
        <v>43</v>
      </c>
      <c r="AC5" s="247">
        <v>42</v>
      </c>
      <c r="AD5" s="247">
        <v>38</v>
      </c>
      <c r="AE5" s="247">
        <v>40</v>
      </c>
      <c r="AF5" s="247">
        <v>44</v>
      </c>
      <c r="AG5" s="247">
        <v>48</v>
      </c>
      <c r="AH5" s="248">
        <v>40</v>
      </c>
    </row>
    <row r="6" spans="2:53" s="40" customFormat="1" ht="18" customHeight="1" x14ac:dyDescent="0.3">
      <c r="B6" s="324"/>
      <c r="C6" s="239" t="s">
        <v>11</v>
      </c>
      <c r="D6" s="163">
        <v>16</v>
      </c>
      <c r="E6" s="163">
        <v>16</v>
      </c>
      <c r="F6" s="163">
        <v>12</v>
      </c>
      <c r="G6" s="163">
        <v>12</v>
      </c>
      <c r="H6" s="163">
        <v>16</v>
      </c>
      <c r="I6" s="163">
        <v>16</v>
      </c>
      <c r="J6" s="163">
        <v>16</v>
      </c>
      <c r="K6" s="163">
        <v>16</v>
      </c>
      <c r="L6" s="163">
        <v>16</v>
      </c>
      <c r="M6" s="163">
        <v>12</v>
      </c>
      <c r="N6" s="163">
        <v>12</v>
      </c>
      <c r="O6" s="163">
        <v>16</v>
      </c>
      <c r="P6" s="163">
        <v>16</v>
      </c>
      <c r="Q6" s="163">
        <v>16</v>
      </c>
      <c r="R6" s="163">
        <v>16</v>
      </c>
      <c r="S6" s="163">
        <v>16</v>
      </c>
      <c r="T6" s="163">
        <v>12</v>
      </c>
      <c r="U6" s="163">
        <v>12</v>
      </c>
      <c r="V6" s="163">
        <v>16</v>
      </c>
      <c r="W6" s="163">
        <v>16</v>
      </c>
      <c r="X6" s="163">
        <v>16</v>
      </c>
      <c r="Y6" s="163">
        <v>16</v>
      </c>
      <c r="Z6" s="163">
        <v>16</v>
      </c>
      <c r="AA6" s="163">
        <v>12</v>
      </c>
      <c r="AB6" s="163">
        <v>12</v>
      </c>
      <c r="AC6" s="163">
        <v>16</v>
      </c>
      <c r="AD6" s="163">
        <v>16</v>
      </c>
      <c r="AE6" s="163">
        <v>16</v>
      </c>
      <c r="AF6" s="163">
        <v>16</v>
      </c>
      <c r="AG6" s="163">
        <v>16</v>
      </c>
      <c r="AH6" s="240">
        <v>12</v>
      </c>
    </row>
    <row r="7" spans="2:53" s="40" customFormat="1" ht="18" customHeight="1" thickBot="1" x14ac:dyDescent="0.35">
      <c r="B7" s="325"/>
      <c r="C7" s="244" t="s">
        <v>3</v>
      </c>
      <c r="D7" s="245">
        <f>D5+D6</f>
        <v>56</v>
      </c>
      <c r="E7" s="245">
        <f t="shared" ref="E7:AH7" si="0">E5+E6</f>
        <v>53</v>
      </c>
      <c r="F7" s="245">
        <f t="shared" si="0"/>
        <v>51</v>
      </c>
      <c r="G7" s="245">
        <f t="shared" si="0"/>
        <v>55</v>
      </c>
      <c r="H7" s="245">
        <f t="shared" si="0"/>
        <v>59</v>
      </c>
      <c r="I7" s="245">
        <f t="shared" si="0"/>
        <v>54</v>
      </c>
      <c r="J7" s="245">
        <f t="shared" si="0"/>
        <v>55</v>
      </c>
      <c r="K7" s="245">
        <f t="shared" si="0"/>
        <v>60</v>
      </c>
      <c r="L7" s="245">
        <f t="shared" si="0"/>
        <v>63</v>
      </c>
      <c r="M7" s="245">
        <f t="shared" si="0"/>
        <v>51</v>
      </c>
      <c r="N7" s="245">
        <f t="shared" si="0"/>
        <v>55</v>
      </c>
      <c r="O7" s="245">
        <f t="shared" si="0"/>
        <v>58</v>
      </c>
      <c r="P7" s="245">
        <f t="shared" si="0"/>
        <v>54</v>
      </c>
      <c r="Q7" s="245">
        <f t="shared" si="0"/>
        <v>54</v>
      </c>
      <c r="R7" s="245">
        <f t="shared" si="0"/>
        <v>57</v>
      </c>
      <c r="S7" s="245">
        <f t="shared" si="0"/>
        <v>63</v>
      </c>
      <c r="T7" s="245">
        <f t="shared" si="0"/>
        <v>51</v>
      </c>
      <c r="U7" s="245">
        <f t="shared" si="0"/>
        <v>55</v>
      </c>
      <c r="V7" s="245">
        <f t="shared" si="0"/>
        <v>59</v>
      </c>
      <c r="W7" s="245">
        <f t="shared" si="0"/>
        <v>54</v>
      </c>
      <c r="X7" s="245">
        <f t="shared" si="0"/>
        <v>56</v>
      </c>
      <c r="Y7" s="245">
        <f t="shared" si="0"/>
        <v>60</v>
      </c>
      <c r="Z7" s="245">
        <f t="shared" si="0"/>
        <v>63</v>
      </c>
      <c r="AA7" s="245">
        <f t="shared" si="0"/>
        <v>51</v>
      </c>
      <c r="AB7" s="245">
        <f t="shared" si="0"/>
        <v>55</v>
      </c>
      <c r="AC7" s="245">
        <f t="shared" si="0"/>
        <v>58</v>
      </c>
      <c r="AD7" s="245">
        <f t="shared" si="0"/>
        <v>54</v>
      </c>
      <c r="AE7" s="245">
        <f t="shared" si="0"/>
        <v>56</v>
      </c>
      <c r="AF7" s="245">
        <f t="shared" si="0"/>
        <v>60</v>
      </c>
      <c r="AG7" s="245">
        <f t="shared" si="0"/>
        <v>64</v>
      </c>
      <c r="AH7" s="246">
        <f t="shared" si="0"/>
        <v>52</v>
      </c>
    </row>
    <row r="8" spans="2:53" s="40" customFormat="1" ht="18" customHeight="1" x14ac:dyDescent="0.3">
      <c r="B8" s="46"/>
      <c r="C8" s="46"/>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row>
    <row r="9" spans="2:53" s="40" customFormat="1" ht="18" customHeight="1" thickBot="1" x14ac:dyDescent="0.3">
      <c r="B9" s="38"/>
      <c r="C9" s="38"/>
      <c r="D9" s="38"/>
      <c r="E9" s="38"/>
      <c r="F9" s="38"/>
      <c r="G9" s="38"/>
      <c r="H9" s="38"/>
      <c r="I9" s="38"/>
      <c r="J9" s="38"/>
      <c r="K9" s="38"/>
      <c r="L9" s="38"/>
      <c r="M9" s="38"/>
      <c r="N9" s="38"/>
      <c r="O9" s="38"/>
      <c r="P9" s="38"/>
      <c r="Q9" s="38"/>
      <c r="R9" s="38"/>
      <c r="S9" s="38"/>
      <c r="T9" s="38"/>
      <c r="U9" s="38"/>
      <c r="V9" s="38"/>
      <c r="W9" s="38"/>
      <c r="X9" s="38"/>
      <c r="Y9" s="38"/>
      <c r="Z9" s="38"/>
      <c r="AA9" s="38"/>
      <c r="AB9" s="38"/>
      <c r="AC9" s="38"/>
      <c r="AD9" s="38"/>
      <c r="AE9" s="38"/>
      <c r="AF9" s="38"/>
      <c r="AG9" s="38"/>
      <c r="AH9" s="38"/>
    </row>
    <row r="10" spans="2:53" s="40" customFormat="1" ht="59.55" customHeight="1" thickBot="1" x14ac:dyDescent="0.3">
      <c r="B10" s="38"/>
      <c r="C10" s="38"/>
      <c r="D10" s="337"/>
      <c r="E10" s="338"/>
      <c r="F10" s="338"/>
      <c r="G10" s="338"/>
      <c r="H10" s="339"/>
      <c r="I10" s="340" t="s">
        <v>13</v>
      </c>
      <c r="J10" s="341"/>
      <c r="K10" s="341"/>
      <c r="L10" s="341"/>
      <c r="M10" s="341"/>
      <c r="N10" s="342"/>
      <c r="O10" s="38"/>
      <c r="P10" s="38"/>
      <c r="Q10" s="38"/>
      <c r="R10" s="38"/>
      <c r="S10" s="340" t="s">
        <v>14</v>
      </c>
      <c r="T10" s="341"/>
      <c r="U10" s="341"/>
      <c r="V10" s="341"/>
      <c r="W10" s="341"/>
      <c r="X10" s="341"/>
      <c r="Y10" s="341"/>
      <c r="Z10" s="342"/>
      <c r="AA10" s="341"/>
      <c r="AB10" s="341"/>
      <c r="AC10" s="342"/>
      <c r="AD10" s="38"/>
      <c r="AE10" s="38"/>
      <c r="AF10" s="38"/>
      <c r="AG10" s="38"/>
      <c r="AH10" s="38"/>
      <c r="AI10" s="38"/>
      <c r="AJ10" s="38"/>
      <c r="AK10" s="38"/>
      <c r="AL10" s="38"/>
      <c r="AM10" s="38"/>
    </row>
    <row r="11" spans="2:53" s="40" customFormat="1" ht="10.35" customHeight="1" thickBot="1" x14ac:dyDescent="0.3">
      <c r="B11" s="38"/>
      <c r="C11" s="38"/>
      <c r="D11" s="233"/>
      <c r="E11" s="234"/>
      <c r="F11" s="234"/>
      <c r="G11" s="234"/>
      <c r="H11" s="234"/>
      <c r="I11" s="234"/>
      <c r="J11" s="234"/>
      <c r="K11" s="234"/>
      <c r="L11" s="234"/>
      <c r="M11" s="234"/>
      <c r="N11" s="235"/>
      <c r="O11" s="38"/>
      <c r="P11" s="38"/>
      <c r="Q11" s="38"/>
      <c r="R11" s="38"/>
      <c r="S11" s="236"/>
      <c r="T11" s="237"/>
      <c r="U11" s="237"/>
      <c r="V11" s="237"/>
      <c r="W11" s="237"/>
      <c r="X11" s="237"/>
      <c r="Y11" s="237"/>
      <c r="Z11" s="237"/>
      <c r="AA11" s="237"/>
      <c r="AB11" s="237"/>
      <c r="AC11" s="238"/>
      <c r="AD11" s="38"/>
      <c r="AE11" s="38"/>
      <c r="AF11" s="38"/>
      <c r="AG11" s="38"/>
      <c r="AH11" s="38"/>
      <c r="AI11" s="38"/>
      <c r="AJ11" s="38"/>
      <c r="AK11" s="38"/>
      <c r="AL11" s="38"/>
      <c r="AM11" s="38"/>
    </row>
    <row r="12" spans="2:53" s="40" customFormat="1" ht="18" customHeight="1" x14ac:dyDescent="0.25">
      <c r="B12" s="38"/>
      <c r="C12" s="38"/>
      <c r="D12" s="38"/>
      <c r="E12" s="38"/>
      <c r="F12" s="38"/>
      <c r="G12" s="38"/>
      <c r="H12" s="38"/>
      <c r="I12" s="38"/>
      <c r="J12" s="38"/>
      <c r="K12" s="38"/>
      <c r="L12" s="38"/>
      <c r="M12" s="38"/>
      <c r="N12" s="38"/>
      <c r="O12" s="38"/>
      <c r="P12" s="38"/>
      <c r="Q12" s="38"/>
      <c r="R12" s="38"/>
      <c r="S12" s="38"/>
      <c r="T12" s="38"/>
      <c r="U12" s="38"/>
      <c r="V12" s="38"/>
      <c r="W12" s="38"/>
      <c r="X12" s="38"/>
      <c r="Y12" s="38"/>
      <c r="Z12" s="38"/>
      <c r="AA12" s="38"/>
      <c r="AB12" s="38"/>
      <c r="AC12" s="38"/>
      <c r="AD12" s="38"/>
      <c r="AE12" s="38"/>
      <c r="AF12" s="38"/>
      <c r="AG12" s="38"/>
      <c r="AH12" s="38"/>
      <c r="AI12" s="38"/>
      <c r="AJ12" s="38"/>
      <c r="AK12" s="38"/>
      <c r="AL12" s="38"/>
      <c r="AM12" s="38"/>
    </row>
    <row r="13" spans="2:53" s="40" customFormat="1" ht="18" customHeight="1" x14ac:dyDescent="0.25">
      <c r="B13" s="47"/>
      <c r="C13" s="47"/>
      <c r="D13" s="47"/>
      <c r="E13" s="47"/>
      <c r="F13" s="47"/>
      <c r="G13" s="47"/>
      <c r="H13" s="47"/>
      <c r="I13" s="47"/>
      <c r="J13" s="47"/>
      <c r="K13" s="47"/>
      <c r="L13" s="47"/>
      <c r="M13" s="47"/>
      <c r="N13" s="47"/>
      <c r="O13" s="47"/>
      <c r="P13" s="47"/>
      <c r="Q13" s="47"/>
      <c r="R13" s="47"/>
      <c r="S13" s="47"/>
      <c r="T13" s="47"/>
      <c r="U13" s="47"/>
      <c r="V13" s="47"/>
      <c r="W13" s="47"/>
      <c r="X13" s="47"/>
      <c r="Y13" s="47"/>
      <c r="Z13" s="47"/>
      <c r="AA13" s="47"/>
      <c r="AB13" s="47"/>
      <c r="AC13" s="47"/>
      <c r="AD13" s="47"/>
      <c r="AE13" s="47"/>
      <c r="AF13" s="47"/>
      <c r="AG13" s="47"/>
      <c r="AH13" s="47"/>
      <c r="AI13" s="47"/>
      <c r="AJ13" s="47"/>
      <c r="AK13" s="47"/>
      <c r="AL13" s="47"/>
      <c r="AM13" s="47"/>
      <c r="AN13" s="46"/>
      <c r="AO13" s="46"/>
      <c r="AP13" s="46"/>
      <c r="AQ13" s="46"/>
      <c r="AR13" s="46"/>
      <c r="AS13" s="46"/>
      <c r="AT13" s="46"/>
      <c r="AU13" s="46"/>
      <c r="AV13" s="46"/>
      <c r="AW13" s="46"/>
      <c r="AX13" s="46"/>
      <c r="AY13" s="46"/>
      <c r="AZ13" s="46"/>
      <c r="BA13" s="46"/>
    </row>
    <row r="14" spans="2:53" s="40" customFormat="1" ht="18" customHeight="1" x14ac:dyDescent="0.25">
      <c r="B14" s="47"/>
      <c r="C14" s="47"/>
      <c r="D14" s="47"/>
      <c r="E14" s="47"/>
      <c r="F14" s="47"/>
      <c r="G14" s="47"/>
      <c r="H14" s="47"/>
      <c r="I14" s="47"/>
      <c r="J14" s="47"/>
      <c r="K14" s="47"/>
      <c r="L14" s="47"/>
      <c r="M14" s="47"/>
      <c r="N14" s="47"/>
      <c r="O14" s="47"/>
      <c r="P14" s="47"/>
      <c r="Q14" s="47"/>
      <c r="R14" s="47"/>
      <c r="S14" s="47"/>
      <c r="T14" s="47"/>
      <c r="U14" s="47"/>
      <c r="V14" s="47"/>
      <c r="W14" s="47"/>
      <c r="X14" s="47"/>
      <c r="Y14" s="47"/>
      <c r="Z14" s="47"/>
      <c r="AA14" s="47"/>
      <c r="AB14" s="47"/>
      <c r="AC14" s="47"/>
      <c r="AD14" s="47"/>
      <c r="AE14" s="47"/>
      <c r="AF14" s="47"/>
      <c r="AG14" s="47"/>
      <c r="AH14" s="47"/>
      <c r="AI14" s="327"/>
      <c r="AJ14" s="327"/>
      <c r="AK14" s="327"/>
      <c r="AL14" s="327"/>
      <c r="AM14" s="327"/>
      <c r="AN14" s="327"/>
      <c r="AO14" s="327"/>
      <c r="AP14" s="327"/>
      <c r="AQ14" s="327"/>
      <c r="AR14" s="327"/>
      <c r="AS14" s="327"/>
      <c r="AT14" s="327"/>
      <c r="AU14" s="327"/>
      <c r="AV14" s="327"/>
      <c r="AW14" s="327"/>
      <c r="AX14" s="327"/>
      <c r="AY14" s="327"/>
      <c r="AZ14" s="46"/>
      <c r="BA14" s="46"/>
    </row>
    <row r="15" spans="2:53" s="40" customFormat="1" ht="18" customHeight="1" x14ac:dyDescent="0.25">
      <c r="B15" s="47"/>
      <c r="C15" s="47"/>
      <c r="D15" s="47"/>
      <c r="E15" s="47"/>
      <c r="F15" s="47"/>
      <c r="G15" s="47"/>
      <c r="H15" s="47"/>
      <c r="I15" s="47"/>
      <c r="J15" s="47"/>
      <c r="K15" s="47"/>
      <c r="L15" s="47"/>
      <c r="M15" s="47"/>
      <c r="N15" s="47"/>
      <c r="O15" s="47"/>
      <c r="P15" s="47"/>
      <c r="Q15" s="47"/>
      <c r="R15" s="47"/>
      <c r="S15" s="47"/>
      <c r="T15" s="47"/>
      <c r="U15" s="47"/>
      <c r="V15" s="47"/>
      <c r="W15" s="47"/>
      <c r="X15" s="47"/>
      <c r="Y15" s="47"/>
      <c r="Z15" s="47"/>
      <c r="AA15" s="47"/>
      <c r="AB15" s="47"/>
      <c r="AC15" s="47"/>
      <c r="AD15" s="47"/>
      <c r="AE15" s="47"/>
      <c r="AF15" s="47"/>
      <c r="AG15" s="47"/>
      <c r="AH15" s="47"/>
      <c r="AI15" s="327"/>
      <c r="AJ15" s="327"/>
      <c r="AK15" s="327"/>
      <c r="AL15" s="327"/>
      <c r="AM15" s="327"/>
      <c r="AN15" s="327"/>
      <c r="AO15" s="327"/>
      <c r="AP15" s="327"/>
      <c r="AQ15" s="327"/>
      <c r="AR15" s="327"/>
      <c r="AS15" s="327"/>
      <c r="AT15" s="327"/>
      <c r="AU15" s="327"/>
      <c r="AV15" s="327"/>
      <c r="AW15" s="327"/>
      <c r="AX15" s="327"/>
      <c r="AY15" s="327"/>
      <c r="AZ15" s="46"/>
      <c r="BA15" s="46"/>
    </row>
    <row r="16" spans="2:53" s="40" customFormat="1" ht="18" customHeight="1" x14ac:dyDescent="0.25">
      <c r="B16" s="47"/>
      <c r="C16" s="47"/>
      <c r="D16" s="47"/>
      <c r="E16" s="47"/>
      <c r="F16" s="47"/>
      <c r="G16" s="47"/>
      <c r="H16" s="47"/>
      <c r="I16" s="47"/>
      <c r="J16" s="47"/>
      <c r="K16" s="47"/>
      <c r="L16" s="47"/>
      <c r="M16" s="47"/>
      <c r="N16" s="47"/>
      <c r="O16" s="47"/>
      <c r="P16" s="47"/>
      <c r="Q16" s="47"/>
      <c r="R16" s="47"/>
      <c r="S16" s="47"/>
      <c r="T16" s="47"/>
      <c r="U16" s="47"/>
      <c r="V16" s="47"/>
      <c r="W16" s="47"/>
      <c r="X16" s="47"/>
      <c r="Y16" s="47"/>
      <c r="Z16" s="47"/>
      <c r="AA16" s="47"/>
      <c r="AB16" s="47"/>
      <c r="AC16" s="47"/>
      <c r="AD16" s="47"/>
      <c r="AE16" s="47"/>
      <c r="AF16" s="47"/>
      <c r="AG16" s="47"/>
      <c r="AH16" s="47"/>
      <c r="AI16" s="327"/>
      <c r="AJ16" s="327"/>
      <c r="AK16" s="327"/>
      <c r="AL16" s="327"/>
      <c r="AM16" s="327"/>
      <c r="AN16" s="327"/>
      <c r="AO16" s="327"/>
      <c r="AP16" s="327"/>
      <c r="AQ16" s="327"/>
      <c r="AR16" s="327"/>
      <c r="AS16" s="327"/>
      <c r="AT16" s="327"/>
      <c r="AU16" s="327"/>
      <c r="AV16" s="327"/>
      <c r="AW16" s="327"/>
      <c r="AX16" s="327"/>
      <c r="AY16" s="327"/>
      <c r="AZ16" s="46"/>
      <c r="BA16" s="46"/>
    </row>
    <row r="17" spans="2:53" s="40" customFormat="1" ht="18" customHeight="1" x14ac:dyDescent="0.25">
      <c r="B17" s="47"/>
      <c r="C17" s="47"/>
      <c r="D17" s="47"/>
      <c r="E17" s="47"/>
      <c r="F17" s="47"/>
      <c r="G17" s="47"/>
      <c r="H17" s="47"/>
      <c r="I17" s="47"/>
      <c r="J17" s="47"/>
      <c r="K17" s="47"/>
      <c r="L17" s="47"/>
      <c r="M17" s="47"/>
      <c r="N17" s="47"/>
      <c r="O17" s="47"/>
      <c r="P17" s="47"/>
      <c r="Q17" s="47"/>
      <c r="R17" s="47"/>
      <c r="S17" s="47"/>
      <c r="T17" s="47"/>
      <c r="U17" s="47"/>
      <c r="V17" s="47"/>
      <c r="W17" s="47"/>
      <c r="X17" s="47"/>
      <c r="Y17" s="47"/>
      <c r="Z17" s="47"/>
      <c r="AA17" s="47"/>
      <c r="AB17" s="47"/>
      <c r="AC17" s="47"/>
      <c r="AD17" s="47"/>
      <c r="AE17" s="47"/>
      <c r="AF17" s="47"/>
      <c r="AG17" s="47"/>
      <c r="AH17" s="47"/>
      <c r="AI17" s="327"/>
      <c r="AJ17" s="327"/>
      <c r="AK17" s="327"/>
      <c r="AL17" s="327"/>
      <c r="AM17" s="327"/>
      <c r="AN17" s="327"/>
      <c r="AO17" s="327"/>
      <c r="AP17" s="327"/>
      <c r="AQ17" s="327"/>
      <c r="AR17" s="327"/>
      <c r="AS17" s="327"/>
      <c r="AT17" s="327"/>
      <c r="AU17" s="327"/>
      <c r="AV17" s="327"/>
      <c r="AW17" s="327"/>
      <c r="AX17" s="327"/>
      <c r="AY17" s="327"/>
      <c r="AZ17" s="46"/>
      <c r="BA17" s="46"/>
    </row>
    <row r="18" spans="2:53" s="40" customFormat="1" ht="18" customHeight="1" x14ac:dyDescent="0.25">
      <c r="B18" s="47"/>
      <c r="C18" s="47"/>
      <c r="D18" s="47"/>
      <c r="E18" s="47"/>
      <c r="F18" s="47"/>
      <c r="G18" s="47"/>
      <c r="H18" s="47"/>
      <c r="I18" s="47"/>
      <c r="J18" s="47"/>
      <c r="K18" s="47"/>
      <c r="L18" s="47"/>
      <c r="M18" s="47"/>
      <c r="N18" s="47"/>
      <c r="O18" s="47"/>
      <c r="P18" s="47"/>
      <c r="Q18" s="47"/>
      <c r="R18" s="47"/>
      <c r="S18" s="47"/>
      <c r="T18" s="47"/>
      <c r="U18" s="47"/>
      <c r="V18" s="47"/>
      <c r="W18" s="47"/>
      <c r="X18" s="47"/>
      <c r="Y18" s="47"/>
      <c r="Z18" s="47"/>
      <c r="AA18" s="47"/>
      <c r="AB18" s="47"/>
      <c r="AC18" s="47"/>
      <c r="AD18" s="47"/>
      <c r="AE18" s="47"/>
      <c r="AF18" s="47"/>
      <c r="AG18" s="47"/>
      <c r="AH18" s="47"/>
      <c r="AI18" s="327"/>
      <c r="AJ18" s="327"/>
      <c r="AK18" s="327"/>
      <c r="AL18" s="327"/>
      <c r="AM18" s="327"/>
      <c r="AN18" s="327"/>
      <c r="AO18" s="327"/>
      <c r="AP18" s="327"/>
      <c r="AQ18" s="327"/>
      <c r="AR18" s="327"/>
      <c r="AS18" s="327"/>
      <c r="AT18" s="327"/>
      <c r="AU18" s="327"/>
      <c r="AV18" s="327"/>
      <c r="AW18" s="327"/>
      <c r="AX18" s="327"/>
      <c r="AY18" s="327"/>
      <c r="AZ18" s="46"/>
      <c r="BA18" s="46"/>
    </row>
    <row r="19" spans="2:53" s="40" customFormat="1" ht="18" customHeight="1" x14ac:dyDescent="0.25">
      <c r="B19" s="47"/>
      <c r="C19" s="47"/>
      <c r="D19" s="47"/>
      <c r="E19" s="47"/>
      <c r="F19" s="47"/>
      <c r="G19" s="47"/>
      <c r="H19" s="47"/>
      <c r="I19" s="47"/>
      <c r="J19" s="47"/>
      <c r="K19" s="47"/>
      <c r="L19" s="47"/>
      <c r="M19" s="47"/>
      <c r="N19" s="47"/>
      <c r="O19" s="47"/>
      <c r="P19" s="47"/>
      <c r="Q19" s="47"/>
      <c r="R19" s="47"/>
      <c r="S19" s="47"/>
      <c r="T19" s="47"/>
      <c r="U19" s="47"/>
      <c r="V19" s="47"/>
      <c r="W19" s="47"/>
      <c r="X19" s="47"/>
      <c r="Y19" s="47"/>
      <c r="Z19" s="47"/>
      <c r="AA19" s="47"/>
      <c r="AB19" s="47"/>
      <c r="AC19" s="47"/>
      <c r="AD19" s="47"/>
      <c r="AE19" s="47"/>
      <c r="AF19" s="47"/>
      <c r="AG19" s="47"/>
      <c r="AH19" s="47"/>
      <c r="AI19" s="327"/>
      <c r="AJ19" s="327"/>
      <c r="AK19" s="327"/>
      <c r="AL19" s="327"/>
      <c r="AM19" s="327"/>
      <c r="AN19" s="327"/>
      <c r="AO19" s="327"/>
      <c r="AP19" s="327"/>
      <c r="AQ19" s="327"/>
      <c r="AR19" s="327"/>
      <c r="AS19" s="327"/>
      <c r="AT19" s="327"/>
      <c r="AU19" s="327"/>
      <c r="AV19" s="327"/>
      <c r="AW19" s="327"/>
      <c r="AX19" s="327"/>
      <c r="AY19" s="327"/>
      <c r="AZ19" s="46"/>
      <c r="BA19" s="46"/>
    </row>
    <row r="20" spans="2:53" s="40" customFormat="1" ht="18" customHeight="1" x14ac:dyDescent="0.25">
      <c r="B20" s="47"/>
      <c r="C20" s="47"/>
      <c r="D20" s="47"/>
      <c r="E20" s="326"/>
      <c r="F20" s="326"/>
      <c r="G20" s="326"/>
      <c r="H20" s="326"/>
      <c r="I20" s="326"/>
      <c r="J20" s="326"/>
      <c r="K20" s="326"/>
      <c r="L20" s="326"/>
      <c r="M20" s="326"/>
      <c r="N20" s="326"/>
      <c r="O20" s="47"/>
      <c r="P20" s="327"/>
      <c r="Q20" s="327"/>
      <c r="R20" s="327"/>
      <c r="S20" s="327"/>
      <c r="T20" s="327"/>
      <c r="U20" s="327"/>
      <c r="V20" s="327"/>
      <c r="W20" s="327"/>
      <c r="X20" s="327"/>
      <c r="Y20" s="327"/>
      <c r="Z20" s="327"/>
      <c r="AA20" s="327"/>
      <c r="AB20" s="327"/>
      <c r="AC20" s="327"/>
      <c r="AD20" s="327"/>
      <c r="AE20" s="327"/>
      <c r="AF20" s="327"/>
      <c r="AG20" s="47"/>
      <c r="AH20" s="47"/>
      <c r="AI20" s="327"/>
      <c r="AJ20" s="327"/>
      <c r="AK20" s="327"/>
      <c r="AL20" s="327"/>
      <c r="AM20" s="327"/>
      <c r="AN20" s="327"/>
      <c r="AO20" s="327"/>
      <c r="AP20" s="327"/>
      <c r="AQ20" s="327"/>
      <c r="AR20" s="327"/>
      <c r="AS20" s="327"/>
      <c r="AT20" s="327"/>
      <c r="AU20" s="327"/>
      <c r="AV20" s="327"/>
      <c r="AW20" s="327"/>
      <c r="AX20" s="327"/>
      <c r="AY20" s="327"/>
      <c r="AZ20" s="46"/>
      <c r="BA20" s="46"/>
    </row>
    <row r="21" spans="2:53" s="40" customFormat="1" ht="18" customHeight="1" x14ac:dyDescent="0.25">
      <c r="B21" s="47"/>
      <c r="C21" s="47"/>
      <c r="D21" s="47"/>
      <c r="E21" s="326"/>
      <c r="F21" s="326"/>
      <c r="G21" s="326"/>
      <c r="H21" s="326"/>
      <c r="I21" s="326"/>
      <c r="J21" s="326"/>
      <c r="K21" s="326"/>
      <c r="L21" s="326"/>
      <c r="M21" s="326"/>
      <c r="N21" s="326"/>
      <c r="O21" s="47"/>
      <c r="P21" s="327"/>
      <c r="Q21" s="327"/>
      <c r="R21" s="327"/>
      <c r="S21" s="327"/>
      <c r="T21" s="327"/>
      <c r="U21" s="327"/>
      <c r="V21" s="327"/>
      <c r="W21" s="327"/>
      <c r="X21" s="327"/>
      <c r="Y21" s="327"/>
      <c r="Z21" s="327"/>
      <c r="AA21" s="327"/>
      <c r="AB21" s="327"/>
      <c r="AC21" s="327"/>
      <c r="AD21" s="327"/>
      <c r="AE21" s="327"/>
      <c r="AF21" s="327"/>
      <c r="AG21" s="47"/>
      <c r="AH21" s="47"/>
      <c r="AI21" s="47"/>
      <c r="AJ21" s="47"/>
      <c r="AK21" s="46"/>
      <c r="AL21" s="46"/>
      <c r="AM21" s="46"/>
      <c r="AN21" s="46"/>
      <c r="AO21" s="46"/>
      <c r="AP21" s="46"/>
      <c r="AQ21" s="46"/>
      <c r="AR21" s="46"/>
      <c r="AS21" s="46"/>
      <c r="AT21" s="46"/>
      <c r="AU21" s="46"/>
      <c r="AV21" s="46"/>
      <c r="AW21" s="46"/>
      <c r="AX21" s="46"/>
      <c r="AY21" s="46"/>
      <c r="AZ21" s="46"/>
      <c r="BA21" s="46"/>
    </row>
    <row r="22" spans="2:53" s="40" customFormat="1" ht="18" customHeight="1" x14ac:dyDescent="0.25">
      <c r="B22" s="47"/>
      <c r="C22" s="47"/>
      <c r="D22" s="47"/>
      <c r="E22" s="326"/>
      <c r="F22" s="326"/>
      <c r="G22" s="326"/>
      <c r="H22" s="326"/>
      <c r="I22" s="326"/>
      <c r="J22" s="326"/>
      <c r="K22" s="326"/>
      <c r="L22" s="326"/>
      <c r="M22" s="326"/>
      <c r="N22" s="326"/>
      <c r="O22" s="46"/>
      <c r="P22" s="327"/>
      <c r="Q22" s="327"/>
      <c r="R22" s="327"/>
      <c r="S22" s="327"/>
      <c r="T22" s="327"/>
      <c r="U22" s="327"/>
      <c r="V22" s="327"/>
      <c r="W22" s="327"/>
      <c r="X22" s="327"/>
      <c r="Y22" s="327"/>
      <c r="Z22" s="327"/>
      <c r="AA22" s="327"/>
      <c r="AB22" s="327"/>
      <c r="AC22" s="327"/>
      <c r="AD22" s="327"/>
      <c r="AE22" s="327"/>
      <c r="AF22" s="327"/>
      <c r="AG22" s="47"/>
      <c r="AH22" s="47"/>
      <c r="AI22" s="47"/>
      <c r="AJ22" s="47"/>
      <c r="AK22" s="46"/>
      <c r="AL22" s="46"/>
      <c r="AM22" s="46"/>
      <c r="AN22" s="46"/>
      <c r="AO22" s="46"/>
      <c r="AP22" s="46"/>
      <c r="AQ22" s="46"/>
      <c r="AR22" s="46"/>
      <c r="AS22" s="46"/>
      <c r="AT22" s="46"/>
      <c r="AU22" s="46"/>
      <c r="AV22" s="46"/>
      <c r="AW22" s="46"/>
      <c r="AX22" s="46"/>
      <c r="AY22" s="46"/>
      <c r="AZ22" s="46"/>
      <c r="BA22" s="46"/>
    </row>
    <row r="23" spans="2:53" s="40" customFormat="1" ht="18" customHeight="1" x14ac:dyDescent="0.25">
      <c r="B23" s="47"/>
      <c r="C23" s="47"/>
      <c r="D23" s="47"/>
      <c r="E23" s="326"/>
      <c r="F23" s="326"/>
      <c r="G23" s="326"/>
      <c r="H23" s="326"/>
      <c r="I23" s="326"/>
      <c r="J23" s="326"/>
      <c r="K23" s="326"/>
      <c r="L23" s="326"/>
      <c r="M23" s="326"/>
      <c r="N23" s="326"/>
      <c r="O23" s="232"/>
      <c r="P23" s="327"/>
      <c r="Q23" s="327"/>
      <c r="R23" s="327"/>
      <c r="S23" s="327"/>
      <c r="T23" s="327"/>
      <c r="U23" s="327"/>
      <c r="V23" s="327"/>
      <c r="W23" s="327"/>
      <c r="X23" s="327"/>
      <c r="Y23" s="327"/>
      <c r="Z23" s="327"/>
      <c r="AA23" s="327"/>
      <c r="AB23" s="327"/>
      <c r="AC23" s="327"/>
      <c r="AD23" s="327"/>
      <c r="AE23" s="327"/>
      <c r="AF23" s="327"/>
      <c r="AG23" s="47"/>
      <c r="AH23" s="47"/>
      <c r="AI23" s="47"/>
      <c r="AJ23" s="47"/>
      <c r="AK23" s="46"/>
      <c r="AL23" s="46"/>
      <c r="AM23" s="46"/>
      <c r="AN23" s="46"/>
      <c r="AO23" s="46"/>
      <c r="AP23" s="46"/>
      <c r="AQ23" s="46"/>
      <c r="AR23" s="46"/>
      <c r="AS23" s="46"/>
      <c r="AT23" s="46"/>
      <c r="AU23" s="46"/>
      <c r="AV23" s="46"/>
      <c r="AW23" s="46"/>
      <c r="AX23" s="46"/>
      <c r="AY23" s="46"/>
      <c r="AZ23" s="46"/>
      <c r="BA23" s="46"/>
    </row>
    <row r="24" spans="2:53" s="40" customFormat="1" ht="18" customHeight="1" x14ac:dyDescent="0.25">
      <c r="B24" s="47"/>
      <c r="C24" s="47"/>
      <c r="D24" s="47"/>
      <c r="E24" s="326"/>
      <c r="F24" s="326"/>
      <c r="G24" s="326"/>
      <c r="H24" s="326"/>
      <c r="I24" s="326"/>
      <c r="J24" s="326"/>
      <c r="K24" s="326"/>
      <c r="L24" s="326"/>
      <c r="M24" s="326"/>
      <c r="N24" s="326"/>
      <c r="O24" s="232"/>
      <c r="P24" s="327"/>
      <c r="Q24" s="327"/>
      <c r="R24" s="327"/>
      <c r="S24" s="327"/>
      <c r="T24" s="327"/>
      <c r="U24" s="327"/>
      <c r="V24" s="327"/>
      <c r="W24" s="327"/>
      <c r="X24" s="327"/>
      <c r="Y24" s="327"/>
      <c r="Z24" s="327"/>
      <c r="AA24" s="327"/>
      <c r="AB24" s="327"/>
      <c r="AC24" s="327"/>
      <c r="AD24" s="327"/>
      <c r="AE24" s="327"/>
      <c r="AF24" s="327"/>
      <c r="AG24" s="47"/>
      <c r="AH24" s="47"/>
      <c r="AI24" s="47"/>
      <c r="AJ24" s="47"/>
      <c r="AK24" s="46"/>
      <c r="AL24" s="46"/>
      <c r="AM24" s="46"/>
      <c r="AN24" s="46"/>
      <c r="AO24" s="46"/>
      <c r="AP24" s="46"/>
      <c r="AQ24" s="46"/>
      <c r="AR24" s="46"/>
      <c r="AS24" s="46"/>
      <c r="AT24" s="46"/>
      <c r="AU24" s="46"/>
      <c r="AV24" s="46"/>
      <c r="AW24" s="46"/>
      <c r="AX24" s="46"/>
      <c r="AY24" s="46"/>
      <c r="AZ24" s="46"/>
      <c r="BA24" s="46"/>
    </row>
    <row r="25" spans="2:53" s="40" customFormat="1" ht="18" customHeight="1" x14ac:dyDescent="0.25">
      <c r="B25" s="47"/>
      <c r="C25" s="47"/>
      <c r="D25" s="47"/>
      <c r="E25" s="326"/>
      <c r="F25" s="326"/>
      <c r="G25" s="326"/>
      <c r="H25" s="326"/>
      <c r="I25" s="326"/>
      <c r="J25" s="326"/>
      <c r="K25" s="326"/>
      <c r="L25" s="326"/>
      <c r="M25" s="326"/>
      <c r="N25" s="326"/>
      <c r="O25" s="232"/>
      <c r="P25" s="327"/>
      <c r="Q25" s="327"/>
      <c r="R25" s="327"/>
      <c r="S25" s="327"/>
      <c r="T25" s="327"/>
      <c r="U25" s="327"/>
      <c r="V25" s="327"/>
      <c r="W25" s="327"/>
      <c r="X25" s="327"/>
      <c r="Y25" s="327"/>
      <c r="Z25" s="327"/>
      <c r="AA25" s="327"/>
      <c r="AB25" s="327"/>
      <c r="AC25" s="327"/>
      <c r="AD25" s="327"/>
      <c r="AE25" s="327"/>
      <c r="AF25" s="327"/>
      <c r="AG25" s="47"/>
      <c r="AH25" s="47"/>
      <c r="AI25" s="47"/>
      <c r="AJ25" s="47"/>
      <c r="AK25" s="46"/>
      <c r="AL25" s="46"/>
      <c r="AM25" s="46"/>
      <c r="AN25" s="46"/>
      <c r="AO25" s="46"/>
      <c r="AP25" s="46"/>
      <c r="AQ25" s="46"/>
      <c r="AR25" s="46"/>
      <c r="AS25" s="46"/>
      <c r="AT25" s="46"/>
      <c r="AU25" s="46"/>
      <c r="AV25" s="46"/>
      <c r="AW25" s="46"/>
      <c r="AX25" s="46"/>
      <c r="AY25" s="46"/>
      <c r="AZ25" s="46"/>
      <c r="BA25" s="46"/>
    </row>
    <row r="26" spans="2:53" s="40" customFormat="1" ht="18" customHeight="1" x14ac:dyDescent="0.25">
      <c r="B26" s="47"/>
      <c r="C26" s="47"/>
      <c r="D26" s="47"/>
      <c r="E26" s="326"/>
      <c r="F26" s="326"/>
      <c r="G26" s="326"/>
      <c r="H26" s="326"/>
      <c r="I26" s="326"/>
      <c r="J26" s="326"/>
      <c r="K26" s="326"/>
      <c r="L26" s="326"/>
      <c r="M26" s="326"/>
      <c r="N26" s="326"/>
      <c r="O26" s="47"/>
      <c r="P26" s="327"/>
      <c r="Q26" s="327"/>
      <c r="R26" s="327"/>
      <c r="S26" s="327"/>
      <c r="T26" s="327"/>
      <c r="U26" s="327"/>
      <c r="V26" s="327"/>
      <c r="W26" s="327"/>
      <c r="X26" s="327"/>
      <c r="Y26" s="327"/>
      <c r="Z26" s="327"/>
      <c r="AA26" s="327"/>
      <c r="AB26" s="327"/>
      <c r="AC26" s="327"/>
      <c r="AD26" s="327"/>
      <c r="AE26" s="327"/>
      <c r="AF26" s="327"/>
      <c r="AG26" s="47"/>
      <c r="AH26" s="47"/>
      <c r="AI26" s="47"/>
      <c r="AJ26" s="47"/>
      <c r="AK26" s="46"/>
      <c r="AL26" s="46"/>
      <c r="AM26" s="46"/>
      <c r="AN26" s="46"/>
      <c r="AO26" s="46"/>
      <c r="AP26" s="46"/>
      <c r="AQ26" s="46"/>
      <c r="AR26" s="46"/>
      <c r="AS26" s="46"/>
      <c r="AT26" s="46"/>
      <c r="AU26" s="46"/>
      <c r="AV26" s="46"/>
      <c r="AW26" s="46"/>
      <c r="AX26" s="46"/>
      <c r="AY26" s="46"/>
      <c r="AZ26" s="46"/>
      <c r="BA26" s="46"/>
    </row>
    <row r="27" spans="2:53" s="40" customFormat="1" ht="18" customHeight="1" x14ac:dyDescent="0.25">
      <c r="B27" s="38"/>
      <c r="C27" s="38"/>
      <c r="D27" s="38"/>
      <c r="E27" s="38"/>
      <c r="F27" s="38"/>
      <c r="G27" s="38"/>
      <c r="H27" s="38"/>
      <c r="I27" s="38"/>
      <c r="J27" s="38"/>
      <c r="K27" s="38"/>
      <c r="L27" s="38"/>
      <c r="M27" s="38"/>
      <c r="N27" s="38"/>
      <c r="O27" s="38"/>
      <c r="P27" s="38"/>
      <c r="Q27" s="38"/>
      <c r="R27" s="38"/>
      <c r="S27" s="38"/>
      <c r="T27" s="38"/>
      <c r="U27" s="38"/>
      <c r="V27" s="38"/>
      <c r="W27" s="38"/>
      <c r="X27" s="38"/>
      <c r="Y27" s="38"/>
      <c r="Z27" s="38"/>
      <c r="AA27" s="38"/>
      <c r="AB27" s="38"/>
      <c r="AC27" s="38"/>
      <c r="AD27" s="38"/>
      <c r="AE27" s="38"/>
      <c r="AF27" s="38"/>
      <c r="AG27" s="38"/>
      <c r="AH27" s="38"/>
      <c r="AI27" s="38"/>
      <c r="AJ27" s="38"/>
    </row>
    <row r="28" spans="2:53" s="40" customFormat="1" ht="18" customHeight="1" x14ac:dyDescent="0.25">
      <c r="B28" s="38"/>
      <c r="C28" s="38"/>
      <c r="D28" s="38"/>
      <c r="E28" s="38"/>
      <c r="F28" s="38"/>
      <c r="G28" s="38"/>
      <c r="H28" s="38"/>
      <c r="I28" s="38"/>
      <c r="J28" s="38"/>
      <c r="K28" s="38"/>
      <c r="L28" s="38"/>
      <c r="M28" s="38"/>
      <c r="N28" s="38"/>
      <c r="O28" s="38"/>
      <c r="P28" s="38"/>
      <c r="Q28" s="38"/>
      <c r="R28" s="38"/>
      <c r="S28" s="38"/>
      <c r="T28" s="38"/>
      <c r="U28" s="38"/>
      <c r="V28" s="38"/>
      <c r="W28" s="38"/>
      <c r="X28" s="38"/>
      <c r="Y28" s="38"/>
      <c r="Z28" s="38"/>
      <c r="AA28" s="38"/>
      <c r="AB28" s="38"/>
      <c r="AC28" s="38"/>
      <c r="AD28" s="38"/>
      <c r="AE28" s="38"/>
      <c r="AF28" s="38"/>
      <c r="AG28" s="38"/>
      <c r="AH28" s="38"/>
      <c r="AI28" s="38"/>
      <c r="AJ28" s="38"/>
    </row>
    <row r="29" spans="2:53" s="40" customFormat="1" ht="18" customHeight="1" x14ac:dyDescent="0.25">
      <c r="B29" s="38"/>
      <c r="C29" s="38"/>
      <c r="D29" s="38"/>
      <c r="E29" s="38"/>
      <c r="F29" s="38"/>
      <c r="G29" s="38"/>
      <c r="H29" s="38"/>
      <c r="I29" s="38"/>
      <c r="J29" s="38"/>
      <c r="K29" s="38"/>
      <c r="L29" s="38"/>
      <c r="M29" s="38"/>
      <c r="N29" s="38"/>
      <c r="O29" s="38"/>
      <c r="P29" s="38"/>
      <c r="Q29" s="38"/>
      <c r="R29" s="38"/>
      <c r="S29" s="38"/>
      <c r="T29" s="38"/>
      <c r="U29" s="38"/>
      <c r="V29" s="38"/>
      <c r="W29" s="38"/>
      <c r="X29" s="38"/>
      <c r="Y29" s="38"/>
      <c r="Z29" s="38"/>
      <c r="AA29" s="38"/>
      <c r="AB29" s="38"/>
      <c r="AC29" s="38"/>
      <c r="AD29" s="38"/>
      <c r="AE29" s="38"/>
      <c r="AF29" s="38"/>
      <c r="AG29" s="38"/>
      <c r="AH29" s="38"/>
      <c r="AI29" s="38"/>
      <c r="AJ29" s="38"/>
    </row>
    <row r="30" spans="2:53" s="40" customFormat="1" ht="18" customHeight="1" x14ac:dyDescent="0.25">
      <c r="B30" s="38"/>
      <c r="C30" s="38"/>
      <c r="D30" s="38"/>
      <c r="E30" s="38"/>
      <c r="F30" s="38"/>
      <c r="G30" s="38"/>
      <c r="H30" s="38"/>
      <c r="I30" s="38"/>
      <c r="J30" s="38"/>
      <c r="K30" s="38"/>
      <c r="L30" s="38"/>
      <c r="M30" s="38"/>
      <c r="N30" s="38"/>
      <c r="O30" s="38"/>
      <c r="P30" s="38"/>
      <c r="Q30" s="38"/>
      <c r="R30" s="38"/>
      <c r="S30" s="38"/>
      <c r="T30" s="38"/>
      <c r="U30" s="38"/>
      <c r="V30" s="38"/>
      <c r="W30" s="38"/>
      <c r="X30" s="38"/>
      <c r="Y30" s="38"/>
      <c r="Z30" s="38"/>
      <c r="AA30" s="38"/>
      <c r="AB30" s="38"/>
      <c r="AC30" s="38"/>
      <c r="AD30" s="38"/>
      <c r="AE30" s="38"/>
      <c r="AF30" s="38"/>
      <c r="AG30" s="38"/>
      <c r="AH30" s="38"/>
      <c r="AI30" s="38"/>
      <c r="AJ30" s="38"/>
    </row>
    <row r="31" spans="2:53" s="40" customFormat="1" ht="18" customHeight="1" x14ac:dyDescent="0.25">
      <c r="B31" s="38"/>
      <c r="C31" s="38"/>
      <c r="D31" s="38"/>
      <c r="E31" s="38"/>
      <c r="F31" s="38"/>
      <c r="G31" s="38"/>
      <c r="H31" s="38"/>
      <c r="I31" s="38"/>
      <c r="J31" s="38"/>
      <c r="K31" s="38"/>
      <c r="L31" s="38"/>
      <c r="M31" s="38"/>
      <c r="N31" s="38"/>
      <c r="O31" s="38"/>
      <c r="P31" s="38"/>
      <c r="Q31" s="38"/>
      <c r="R31" s="38"/>
      <c r="S31" s="38"/>
      <c r="T31" s="38"/>
      <c r="U31" s="38"/>
      <c r="V31" s="38"/>
      <c r="W31" s="38"/>
      <c r="X31" s="38"/>
      <c r="Y31" s="38"/>
      <c r="Z31" s="38"/>
      <c r="AA31" s="38"/>
      <c r="AB31" s="38"/>
      <c r="AC31" s="38"/>
      <c r="AD31" s="38"/>
      <c r="AE31" s="38"/>
      <c r="AF31" s="38"/>
      <c r="AG31" s="38"/>
      <c r="AH31" s="38"/>
      <c r="AI31" s="38"/>
      <c r="AJ31" s="38"/>
    </row>
    <row r="32" spans="2:53" s="40" customFormat="1" ht="18" customHeight="1" x14ac:dyDescent="0.25">
      <c r="B32" s="38"/>
      <c r="C32" s="38"/>
      <c r="D32" s="38"/>
      <c r="E32" s="38"/>
      <c r="F32" s="38"/>
      <c r="G32" s="38"/>
      <c r="H32" s="38"/>
      <c r="I32" s="38"/>
      <c r="J32" s="38"/>
      <c r="K32" s="38"/>
      <c r="L32" s="38"/>
      <c r="M32" s="38"/>
      <c r="N32" s="38"/>
      <c r="O32" s="38"/>
      <c r="P32" s="38"/>
      <c r="Q32" s="38"/>
      <c r="R32" s="38"/>
      <c r="S32" s="38"/>
      <c r="T32" s="38"/>
      <c r="U32" s="38"/>
      <c r="V32" s="38"/>
      <c r="W32" s="38"/>
      <c r="X32" s="38"/>
      <c r="Y32" s="38"/>
      <c r="Z32" s="38"/>
      <c r="AA32" s="38"/>
      <c r="AB32" s="38"/>
      <c r="AC32" s="38"/>
      <c r="AD32" s="38"/>
      <c r="AE32" s="38"/>
      <c r="AF32" s="38"/>
      <c r="AG32" s="38"/>
      <c r="AH32" s="38"/>
      <c r="AI32" s="38"/>
      <c r="AJ32" s="38"/>
    </row>
    <row r="33" spans="2:37" s="40" customFormat="1" ht="18" customHeight="1" x14ac:dyDescent="0.25">
      <c r="B33" s="38"/>
      <c r="C33" s="38"/>
      <c r="D33" s="38"/>
      <c r="E33" s="38"/>
      <c r="F33" s="38"/>
      <c r="G33" s="38"/>
      <c r="H33" s="38"/>
      <c r="I33" s="38"/>
      <c r="J33" s="38"/>
      <c r="K33" s="38"/>
      <c r="L33" s="38"/>
      <c r="M33" s="38"/>
      <c r="N33" s="38"/>
      <c r="O33" s="38"/>
      <c r="P33" s="38"/>
      <c r="Q33" s="38"/>
      <c r="R33" s="38"/>
      <c r="S33" s="38"/>
      <c r="T33" s="38"/>
      <c r="U33" s="38"/>
      <c r="V33" s="38"/>
      <c r="W33" s="38"/>
      <c r="X33" s="38"/>
      <c r="Y33" s="38"/>
      <c r="Z33" s="38"/>
      <c r="AA33" s="38"/>
      <c r="AB33" s="38"/>
      <c r="AC33" s="38"/>
      <c r="AD33" s="38"/>
      <c r="AE33" s="38"/>
      <c r="AF33" s="38"/>
      <c r="AG33" s="38"/>
      <c r="AH33" s="38"/>
      <c r="AI33" s="38"/>
      <c r="AJ33" s="38"/>
    </row>
    <row r="34" spans="2:37" s="40" customFormat="1" ht="23.25" customHeight="1" x14ac:dyDescent="0.25">
      <c r="B34" s="38"/>
      <c r="C34" s="38"/>
      <c r="D34" s="38"/>
      <c r="E34" s="38"/>
      <c r="F34" s="38"/>
      <c r="G34" s="38"/>
      <c r="H34" s="38"/>
      <c r="I34" s="38"/>
      <c r="J34" s="38"/>
      <c r="K34" s="38"/>
      <c r="L34" s="38"/>
      <c r="M34" s="38"/>
      <c r="N34" s="38"/>
      <c r="O34" s="38"/>
      <c r="P34" s="38"/>
      <c r="Q34" s="38"/>
      <c r="R34" s="38"/>
      <c r="S34" s="38"/>
      <c r="T34" s="38"/>
      <c r="U34" s="38"/>
      <c r="V34" s="38"/>
      <c r="W34" s="38"/>
      <c r="X34" s="38"/>
      <c r="Y34" s="38"/>
      <c r="Z34" s="38"/>
      <c r="AA34" s="38"/>
      <c r="AB34" s="38"/>
      <c r="AC34" s="38"/>
      <c r="AD34" s="38"/>
      <c r="AE34" s="38"/>
      <c r="AF34" s="38"/>
      <c r="AG34" s="38"/>
      <c r="AH34" s="38"/>
      <c r="AI34" s="38"/>
      <c r="AJ34" s="38"/>
    </row>
    <row r="35" spans="2:37" s="40" customFormat="1" ht="23.25" customHeight="1" x14ac:dyDescent="0.25">
      <c r="B35" s="38"/>
      <c r="C35" s="38"/>
      <c r="D35" s="38"/>
      <c r="E35" s="38"/>
      <c r="F35" s="38"/>
      <c r="G35" s="38"/>
      <c r="H35" s="38"/>
      <c r="I35" s="38"/>
      <c r="J35" s="38"/>
      <c r="K35" s="38"/>
      <c r="L35" s="38"/>
      <c r="M35" s="38"/>
      <c r="N35" s="38"/>
      <c r="O35" s="38"/>
      <c r="P35" s="38"/>
      <c r="Q35" s="38"/>
      <c r="R35" s="38"/>
      <c r="S35" s="38"/>
      <c r="T35" s="38"/>
      <c r="U35" s="38"/>
      <c r="V35" s="38"/>
      <c r="W35" s="38"/>
      <c r="X35" s="38"/>
      <c r="Y35" s="38"/>
      <c r="Z35" s="38"/>
      <c r="AA35" s="38"/>
      <c r="AB35" s="38"/>
      <c r="AC35" s="38"/>
      <c r="AD35" s="38"/>
      <c r="AE35" s="38"/>
      <c r="AF35" s="38"/>
      <c r="AG35" s="38"/>
      <c r="AH35" s="38"/>
      <c r="AI35" s="38"/>
      <c r="AJ35" s="38"/>
      <c r="AK35" s="38"/>
    </row>
    <row r="36" spans="2:37" s="40" customFormat="1" ht="23.25" customHeight="1" x14ac:dyDescent="0.25">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row>
    <row r="37" spans="2:37" ht="17.399999999999999" x14ac:dyDescent="0.25">
      <c r="B37" s="40"/>
      <c r="C37" s="40"/>
    </row>
  </sheetData>
  <mergeCells count="12">
    <mergeCell ref="AI14:AY20"/>
    <mergeCell ref="E20:N26"/>
    <mergeCell ref="P20:AF26"/>
    <mergeCell ref="B2:F2"/>
    <mergeCell ref="G2:AB2"/>
    <mergeCell ref="AC2:AH2"/>
    <mergeCell ref="B3:B7"/>
    <mergeCell ref="D3:AH3"/>
    <mergeCell ref="D10:H10"/>
    <mergeCell ref="I10:N10"/>
    <mergeCell ref="S10:Z10"/>
    <mergeCell ref="AA10:AC10"/>
  </mergeCells>
  <pageMargins left="0.75" right="0.75" top="1" bottom="1" header="0" footer="0"/>
  <pageSetup paperSize="9" scale="26" orientation="landscape" horizontalDpi="300" verticalDpi="300" r:id="rId1"/>
  <headerFooter alignWithMargins="0"/>
  <drawing r:id="rId2"/>
  <tableParts count="1">
    <tablePart r:id="rId3"/>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11F8D-155B-4482-92B8-FEAB50CBA090}">
  <sheetPr codeName="Hoja1">
    <tabColor theme="4" tint="0.59999389629810485"/>
  </sheetPr>
  <dimension ref="A1:AK148"/>
  <sheetViews>
    <sheetView showGridLines="0" tabSelected="1" zoomScale="80" zoomScaleNormal="80" workbookViewId="0">
      <pane ySplit="4" topLeftCell="A133" activePane="bottomLeft" state="frozen"/>
      <selection pane="bottomLeft" activeCell="AK145" sqref="AK145"/>
    </sheetView>
  </sheetViews>
  <sheetFormatPr baseColWidth="10" defaultColWidth="11.44140625" defaultRowHeight="14.4" x14ac:dyDescent="0.3"/>
  <cols>
    <col min="1" max="1" width="1.77734375" customWidth="1"/>
    <col min="2" max="2" width="11.21875" customWidth="1"/>
    <col min="3" max="3" width="9.21875" style="251" bestFit="1" customWidth="1"/>
    <col min="4" max="5" width="3.77734375" style="1" customWidth="1"/>
    <col min="6" max="6" width="3" style="1" bestFit="1" customWidth="1"/>
    <col min="7" max="12" width="3.77734375" style="1" customWidth="1"/>
    <col min="13" max="33" width="4.77734375" style="1" customWidth="1"/>
    <col min="34" max="34" width="7.5546875" style="1" customWidth="1"/>
  </cols>
  <sheetData>
    <row r="1" spans="2:37" ht="9.6" customHeight="1" thickBot="1" x14ac:dyDescent="0.35"/>
    <row r="2" spans="2:37" ht="50.1" customHeight="1" thickBot="1" x14ac:dyDescent="0.35">
      <c r="B2" s="410" t="s">
        <v>96</v>
      </c>
      <c r="C2" s="411"/>
      <c r="D2" s="411"/>
      <c r="E2" s="411"/>
      <c r="F2" s="411"/>
      <c r="G2" s="411"/>
      <c r="H2" s="411"/>
      <c r="I2" s="411"/>
      <c r="J2" s="411"/>
      <c r="K2" s="411"/>
      <c r="L2" s="411"/>
      <c r="M2" s="411"/>
      <c r="N2" s="411"/>
      <c r="O2" s="411"/>
      <c r="P2" s="411"/>
      <c r="Q2" s="411"/>
      <c r="R2" s="411"/>
      <c r="S2" s="411"/>
      <c r="T2" s="411"/>
      <c r="U2" s="411"/>
      <c r="V2" s="411"/>
      <c r="W2" s="411"/>
      <c r="X2" s="411"/>
      <c r="Y2" s="411"/>
      <c r="Z2" s="411"/>
      <c r="AA2" s="411"/>
      <c r="AB2" s="411"/>
      <c r="AC2" s="411"/>
      <c r="AD2" s="411"/>
      <c r="AE2" s="411"/>
      <c r="AF2" s="411"/>
      <c r="AG2" s="411"/>
      <c r="AH2" s="411"/>
      <c r="AI2" s="411"/>
      <c r="AJ2" s="412"/>
    </row>
    <row r="3" spans="2:37" ht="15.6" customHeight="1" thickBot="1" x14ac:dyDescent="0.35">
      <c r="B3" s="422" t="s">
        <v>0</v>
      </c>
      <c r="C3" s="421" t="s">
        <v>2</v>
      </c>
      <c r="D3" s="279"/>
      <c r="E3" s="279"/>
      <c r="F3" s="279"/>
      <c r="G3" s="279"/>
      <c r="H3" s="279"/>
      <c r="I3" s="279"/>
      <c r="J3" s="279"/>
      <c r="K3" s="279"/>
      <c r="L3" s="279"/>
      <c r="M3" s="279"/>
      <c r="N3" s="279"/>
      <c r="O3" s="279"/>
      <c r="P3" s="279"/>
      <c r="Q3" s="279"/>
      <c r="R3" s="279"/>
      <c r="S3" s="279"/>
      <c r="T3" s="279"/>
      <c r="U3" s="279"/>
      <c r="V3" s="279"/>
      <c r="W3" s="279"/>
      <c r="X3" s="279"/>
      <c r="Y3" s="279"/>
      <c r="Z3" s="279"/>
      <c r="AA3" s="279"/>
      <c r="AB3" s="279"/>
      <c r="AC3" s="279"/>
      <c r="AD3" s="279"/>
      <c r="AE3" s="279"/>
      <c r="AF3" s="279"/>
      <c r="AG3" s="279"/>
      <c r="AH3" s="279"/>
      <c r="AI3" s="280"/>
      <c r="AJ3" s="420" t="s">
        <v>97</v>
      </c>
    </row>
    <row r="4" spans="2:37" ht="15" thickBot="1" x14ac:dyDescent="0.35">
      <c r="B4" s="423"/>
      <c r="C4" s="250" t="s">
        <v>1</v>
      </c>
      <c r="D4" s="28" t="s">
        <v>16</v>
      </c>
      <c r="E4" s="29" t="s">
        <v>17</v>
      </c>
      <c r="F4" s="29" t="s">
        <v>18</v>
      </c>
      <c r="G4" s="29" t="s">
        <v>19</v>
      </c>
      <c r="H4" s="29" t="s">
        <v>20</v>
      </c>
      <c r="I4" s="29" t="s">
        <v>21</v>
      </c>
      <c r="J4" s="29" t="s">
        <v>22</v>
      </c>
      <c r="K4" s="29" t="s">
        <v>23</v>
      </c>
      <c r="L4" s="29" t="s">
        <v>24</v>
      </c>
      <c r="M4" s="29" t="s">
        <v>25</v>
      </c>
      <c r="N4" s="29" t="s">
        <v>26</v>
      </c>
      <c r="O4" s="29" t="s">
        <v>27</v>
      </c>
      <c r="P4" s="29" t="s">
        <v>28</v>
      </c>
      <c r="Q4" s="29" t="s">
        <v>29</v>
      </c>
      <c r="R4" s="29" t="s">
        <v>30</v>
      </c>
      <c r="S4" s="29" t="s">
        <v>31</v>
      </c>
      <c r="T4" s="29" t="s">
        <v>32</v>
      </c>
      <c r="U4" s="29" t="s">
        <v>33</v>
      </c>
      <c r="V4" s="29" t="s">
        <v>34</v>
      </c>
      <c r="W4" s="29" t="s">
        <v>35</v>
      </c>
      <c r="X4" s="29" t="s">
        <v>36</v>
      </c>
      <c r="Y4" s="29" t="s">
        <v>37</v>
      </c>
      <c r="Z4" s="29" t="s">
        <v>38</v>
      </c>
      <c r="AA4" s="29" t="s">
        <v>39</v>
      </c>
      <c r="AB4" s="29" t="s">
        <v>40</v>
      </c>
      <c r="AC4" s="29" t="s">
        <v>41</v>
      </c>
      <c r="AD4" s="29" t="s">
        <v>42</v>
      </c>
      <c r="AE4" s="29" t="s">
        <v>43</v>
      </c>
      <c r="AF4" s="29" t="s">
        <v>44</v>
      </c>
      <c r="AG4" s="29" t="s">
        <v>45</v>
      </c>
      <c r="AH4" s="30" t="s">
        <v>46</v>
      </c>
      <c r="AI4" s="215" t="s">
        <v>98</v>
      </c>
      <c r="AJ4" s="278"/>
    </row>
    <row r="5" spans="2:37" ht="15.6" x14ac:dyDescent="0.3">
      <c r="B5" s="414">
        <v>1</v>
      </c>
      <c r="C5" s="252">
        <v>41426</v>
      </c>
      <c r="D5" s="190">
        <v>12</v>
      </c>
      <c r="E5" s="15">
        <v>18</v>
      </c>
      <c r="F5" s="15">
        <v>18</v>
      </c>
      <c r="G5" s="15">
        <v>18</v>
      </c>
      <c r="H5" s="15">
        <v>18</v>
      </c>
      <c r="I5" s="15">
        <v>18</v>
      </c>
      <c r="J5" s="15">
        <v>19</v>
      </c>
      <c r="K5" s="15">
        <v>12</v>
      </c>
      <c r="L5" s="15">
        <v>18</v>
      </c>
      <c r="M5" s="15">
        <v>18</v>
      </c>
      <c r="N5" s="15">
        <v>18</v>
      </c>
      <c r="O5" s="16">
        <v>18</v>
      </c>
      <c r="P5" s="16">
        <v>18</v>
      </c>
      <c r="Q5" s="16">
        <v>19</v>
      </c>
      <c r="R5" s="16">
        <v>12</v>
      </c>
      <c r="S5" s="16">
        <v>18</v>
      </c>
      <c r="T5" s="16">
        <v>18</v>
      </c>
      <c r="U5" s="16">
        <v>18</v>
      </c>
      <c r="V5" s="16">
        <v>18</v>
      </c>
      <c r="W5" s="16">
        <v>18</v>
      </c>
      <c r="X5" s="16">
        <v>19</v>
      </c>
      <c r="Y5" s="16">
        <v>12</v>
      </c>
      <c r="Z5" s="16">
        <v>18</v>
      </c>
      <c r="AA5" s="16">
        <v>18</v>
      </c>
      <c r="AB5" s="16">
        <v>18</v>
      </c>
      <c r="AC5" s="16">
        <v>18</v>
      </c>
      <c r="AD5" s="16">
        <v>18</v>
      </c>
      <c r="AE5" s="16">
        <v>19</v>
      </c>
      <c r="AF5" s="16">
        <v>12</v>
      </c>
      <c r="AG5" s="16">
        <v>18</v>
      </c>
      <c r="AH5" s="217"/>
      <c r="AI5" s="220">
        <f>SUM(D5:AH5)</f>
        <v>514</v>
      </c>
      <c r="AJ5" s="416">
        <f>SUM(AI5:AI16)</f>
        <v>6281</v>
      </c>
    </row>
    <row r="6" spans="2:37" ht="15.6" x14ac:dyDescent="0.3">
      <c r="B6" s="414"/>
      <c r="C6" s="253">
        <v>41456</v>
      </c>
      <c r="D6" s="191">
        <v>18</v>
      </c>
      <c r="E6" s="12">
        <v>18</v>
      </c>
      <c r="F6" s="12">
        <v>18</v>
      </c>
      <c r="G6" s="12">
        <v>18</v>
      </c>
      <c r="H6" s="12">
        <v>19</v>
      </c>
      <c r="I6" s="12">
        <v>12</v>
      </c>
      <c r="J6" s="12">
        <v>18</v>
      </c>
      <c r="K6" s="12">
        <v>18</v>
      </c>
      <c r="L6" s="12">
        <v>18</v>
      </c>
      <c r="M6" s="12">
        <v>18</v>
      </c>
      <c r="N6" s="12">
        <v>18</v>
      </c>
      <c r="O6" s="12">
        <v>19</v>
      </c>
      <c r="P6" s="12">
        <v>12</v>
      </c>
      <c r="Q6" s="12">
        <v>18</v>
      </c>
      <c r="R6" s="12">
        <v>18</v>
      </c>
      <c r="S6" s="12">
        <v>18</v>
      </c>
      <c r="T6" s="12">
        <v>18</v>
      </c>
      <c r="U6" s="12">
        <v>18</v>
      </c>
      <c r="V6" s="12">
        <v>19</v>
      </c>
      <c r="W6" s="12">
        <v>12</v>
      </c>
      <c r="X6" s="12">
        <v>18</v>
      </c>
      <c r="Y6" s="12">
        <v>18</v>
      </c>
      <c r="Z6" s="12">
        <v>18</v>
      </c>
      <c r="AA6" s="12">
        <v>18</v>
      </c>
      <c r="AB6" s="12">
        <v>18</v>
      </c>
      <c r="AC6" s="12">
        <v>19</v>
      </c>
      <c r="AD6" s="12">
        <v>12</v>
      </c>
      <c r="AE6" s="12">
        <v>18</v>
      </c>
      <c r="AF6" s="12">
        <v>18</v>
      </c>
      <c r="AG6" s="12">
        <v>18</v>
      </c>
      <c r="AH6" s="14">
        <v>18</v>
      </c>
      <c r="AI6" s="221">
        <f t="shared" ref="AI6:AI69" si="0">SUM(D6:AH6)</f>
        <v>538</v>
      </c>
      <c r="AJ6" s="417"/>
    </row>
    <row r="7" spans="2:37" ht="15.6" x14ac:dyDescent="0.3">
      <c r="B7" s="414"/>
      <c r="C7" s="253">
        <v>41487</v>
      </c>
      <c r="D7" s="191">
        <v>18</v>
      </c>
      <c r="E7" s="12">
        <v>19</v>
      </c>
      <c r="F7" s="12">
        <v>12</v>
      </c>
      <c r="G7" s="12">
        <v>18</v>
      </c>
      <c r="H7" s="12">
        <v>18</v>
      </c>
      <c r="I7" s="12">
        <v>18</v>
      </c>
      <c r="J7" s="12">
        <v>18</v>
      </c>
      <c r="K7" s="12">
        <v>18</v>
      </c>
      <c r="L7" s="12">
        <v>19</v>
      </c>
      <c r="M7" s="12">
        <v>12</v>
      </c>
      <c r="N7" s="12">
        <v>18</v>
      </c>
      <c r="O7" s="12">
        <v>18</v>
      </c>
      <c r="P7" s="12">
        <v>18</v>
      </c>
      <c r="Q7" s="12">
        <v>18</v>
      </c>
      <c r="R7" s="12">
        <v>18</v>
      </c>
      <c r="S7" s="12">
        <v>19</v>
      </c>
      <c r="T7" s="12">
        <v>12</v>
      </c>
      <c r="U7" s="12">
        <v>18</v>
      </c>
      <c r="V7" s="12">
        <v>18</v>
      </c>
      <c r="W7" s="12">
        <v>18</v>
      </c>
      <c r="X7" s="12">
        <v>18</v>
      </c>
      <c r="Y7" s="12">
        <v>18</v>
      </c>
      <c r="Z7" s="12">
        <v>19</v>
      </c>
      <c r="AA7" s="12">
        <v>12</v>
      </c>
      <c r="AB7" s="12">
        <v>18</v>
      </c>
      <c r="AC7" s="12">
        <v>18</v>
      </c>
      <c r="AD7" s="12">
        <v>18</v>
      </c>
      <c r="AE7" s="12">
        <v>18</v>
      </c>
      <c r="AF7" s="12">
        <v>18</v>
      </c>
      <c r="AG7" s="12">
        <v>19</v>
      </c>
      <c r="AH7" s="14">
        <v>12</v>
      </c>
      <c r="AI7" s="221">
        <f t="shared" si="0"/>
        <v>533</v>
      </c>
      <c r="AJ7" s="417"/>
    </row>
    <row r="8" spans="2:37" ht="15.6" x14ac:dyDescent="0.3">
      <c r="B8" s="414"/>
      <c r="C8" s="253">
        <v>41518</v>
      </c>
      <c r="D8" s="191">
        <v>18</v>
      </c>
      <c r="E8" s="12">
        <v>18</v>
      </c>
      <c r="F8" s="12">
        <v>18</v>
      </c>
      <c r="G8" s="12">
        <v>18</v>
      </c>
      <c r="H8" s="12">
        <v>18</v>
      </c>
      <c r="I8" s="12">
        <v>19</v>
      </c>
      <c r="J8" s="12">
        <v>12</v>
      </c>
      <c r="K8" s="12">
        <v>18</v>
      </c>
      <c r="L8" s="12">
        <v>18</v>
      </c>
      <c r="M8" s="12">
        <v>18</v>
      </c>
      <c r="N8" s="12">
        <v>18</v>
      </c>
      <c r="O8" s="12">
        <v>18</v>
      </c>
      <c r="P8" s="12">
        <v>19</v>
      </c>
      <c r="Q8" s="12">
        <v>12</v>
      </c>
      <c r="R8" s="12">
        <v>18</v>
      </c>
      <c r="S8" s="12">
        <v>18</v>
      </c>
      <c r="T8" s="12">
        <v>18</v>
      </c>
      <c r="U8" s="12">
        <v>18</v>
      </c>
      <c r="V8" s="12">
        <v>18</v>
      </c>
      <c r="W8" s="12">
        <v>19</v>
      </c>
      <c r="X8" s="12">
        <v>12</v>
      </c>
      <c r="Y8" s="12">
        <v>18</v>
      </c>
      <c r="Z8" s="12">
        <v>18</v>
      </c>
      <c r="AA8" s="12">
        <v>18</v>
      </c>
      <c r="AB8" s="12">
        <v>18</v>
      </c>
      <c r="AC8" s="12">
        <v>18</v>
      </c>
      <c r="AD8" s="12">
        <v>19</v>
      </c>
      <c r="AE8" s="12">
        <v>12</v>
      </c>
      <c r="AF8" s="12">
        <v>18</v>
      </c>
      <c r="AG8" s="12">
        <v>18</v>
      </c>
      <c r="AH8" s="216"/>
      <c r="AI8" s="221">
        <f t="shared" si="0"/>
        <v>520</v>
      </c>
      <c r="AJ8" s="417"/>
    </row>
    <row r="9" spans="2:37" ht="15.6" x14ac:dyDescent="0.3">
      <c r="B9" s="414"/>
      <c r="C9" s="253">
        <v>41548</v>
      </c>
      <c r="D9" s="191">
        <v>18</v>
      </c>
      <c r="E9" s="12">
        <v>18</v>
      </c>
      <c r="F9" s="12">
        <v>18</v>
      </c>
      <c r="G9" s="12">
        <v>19</v>
      </c>
      <c r="H9" s="12">
        <v>12</v>
      </c>
      <c r="I9" s="12">
        <v>18</v>
      </c>
      <c r="J9" s="12">
        <v>18</v>
      </c>
      <c r="K9" s="12">
        <v>18</v>
      </c>
      <c r="L9" s="12">
        <v>18</v>
      </c>
      <c r="M9" s="12">
        <v>18</v>
      </c>
      <c r="N9" s="12">
        <v>19</v>
      </c>
      <c r="O9" s="12">
        <v>12</v>
      </c>
      <c r="P9" s="12">
        <v>18</v>
      </c>
      <c r="Q9" s="12">
        <v>18</v>
      </c>
      <c r="R9" s="12">
        <v>18</v>
      </c>
      <c r="S9" s="12">
        <v>18</v>
      </c>
      <c r="T9" s="12">
        <v>18</v>
      </c>
      <c r="U9" s="12">
        <v>19</v>
      </c>
      <c r="V9" s="12">
        <v>12</v>
      </c>
      <c r="W9" s="12">
        <v>18</v>
      </c>
      <c r="X9" s="12">
        <v>18</v>
      </c>
      <c r="Y9" s="12">
        <v>18</v>
      </c>
      <c r="Z9" s="12">
        <v>18</v>
      </c>
      <c r="AA9" s="12">
        <v>18</v>
      </c>
      <c r="AB9" s="12">
        <v>19</v>
      </c>
      <c r="AC9" s="12">
        <v>12</v>
      </c>
      <c r="AD9" s="12">
        <v>18</v>
      </c>
      <c r="AE9" s="12">
        <v>18</v>
      </c>
      <c r="AF9" s="12">
        <v>18</v>
      </c>
      <c r="AG9" s="12">
        <v>18</v>
      </c>
      <c r="AH9" s="14">
        <v>18</v>
      </c>
      <c r="AI9" s="221">
        <f t="shared" si="0"/>
        <v>538</v>
      </c>
      <c r="AJ9" s="417"/>
    </row>
    <row r="10" spans="2:37" ht="15.6" x14ac:dyDescent="0.3">
      <c r="B10" s="414"/>
      <c r="C10" s="253">
        <v>41579</v>
      </c>
      <c r="D10" s="191">
        <v>12</v>
      </c>
      <c r="E10" s="12">
        <v>12</v>
      </c>
      <c r="F10" s="12">
        <v>18</v>
      </c>
      <c r="G10" s="12">
        <v>18</v>
      </c>
      <c r="H10" s="12">
        <v>18</v>
      </c>
      <c r="I10" s="12">
        <v>18</v>
      </c>
      <c r="J10" s="12">
        <v>18</v>
      </c>
      <c r="K10" s="12">
        <v>19</v>
      </c>
      <c r="L10" s="12">
        <v>12</v>
      </c>
      <c r="M10" s="12">
        <v>18</v>
      </c>
      <c r="N10" s="12">
        <v>18</v>
      </c>
      <c r="O10" s="12">
        <v>18</v>
      </c>
      <c r="P10" s="12">
        <v>18</v>
      </c>
      <c r="Q10" s="12">
        <v>18</v>
      </c>
      <c r="R10" s="12">
        <v>19</v>
      </c>
      <c r="S10" s="12">
        <v>12</v>
      </c>
      <c r="T10" s="12">
        <v>18</v>
      </c>
      <c r="U10" s="12">
        <v>18</v>
      </c>
      <c r="V10" s="12">
        <v>18</v>
      </c>
      <c r="W10" s="12">
        <v>18</v>
      </c>
      <c r="X10" s="12">
        <v>18</v>
      </c>
      <c r="Y10" s="12">
        <v>19</v>
      </c>
      <c r="Z10" s="12">
        <v>12</v>
      </c>
      <c r="AA10" s="12">
        <v>18</v>
      </c>
      <c r="AB10" s="12">
        <v>18</v>
      </c>
      <c r="AC10" s="12">
        <v>18</v>
      </c>
      <c r="AD10" s="12">
        <v>18</v>
      </c>
      <c r="AE10" s="12">
        <v>18</v>
      </c>
      <c r="AF10" s="12">
        <v>19</v>
      </c>
      <c r="AG10" s="12">
        <v>12</v>
      </c>
      <c r="AH10" s="216"/>
      <c r="AI10" s="221">
        <f t="shared" si="0"/>
        <v>508</v>
      </c>
      <c r="AJ10" s="417"/>
    </row>
    <row r="11" spans="2:37" ht="15.6" x14ac:dyDescent="0.3">
      <c r="B11" s="414"/>
      <c r="C11" s="253">
        <v>41609</v>
      </c>
      <c r="D11" s="191">
        <v>18</v>
      </c>
      <c r="E11" s="12">
        <v>18</v>
      </c>
      <c r="F11" s="12">
        <v>18</v>
      </c>
      <c r="G11" s="12">
        <v>18</v>
      </c>
      <c r="H11" s="12">
        <v>18</v>
      </c>
      <c r="I11" s="12">
        <v>19</v>
      </c>
      <c r="J11" s="12">
        <v>12</v>
      </c>
      <c r="K11" s="12">
        <v>18</v>
      </c>
      <c r="L11" s="12">
        <v>18</v>
      </c>
      <c r="M11" s="12">
        <v>18</v>
      </c>
      <c r="N11" s="12">
        <v>18</v>
      </c>
      <c r="O11" s="12">
        <v>18</v>
      </c>
      <c r="P11" s="12">
        <v>19</v>
      </c>
      <c r="Q11" s="12">
        <v>12</v>
      </c>
      <c r="R11" s="12">
        <v>18</v>
      </c>
      <c r="S11" s="12">
        <v>18</v>
      </c>
      <c r="T11" s="12">
        <v>18</v>
      </c>
      <c r="U11" s="12">
        <v>18</v>
      </c>
      <c r="V11" s="12">
        <v>18</v>
      </c>
      <c r="W11" s="12">
        <v>19</v>
      </c>
      <c r="X11" s="12">
        <v>12</v>
      </c>
      <c r="Y11" s="12">
        <v>18</v>
      </c>
      <c r="Z11" s="12">
        <v>18</v>
      </c>
      <c r="AA11" s="12">
        <v>18</v>
      </c>
      <c r="AB11" s="12">
        <v>18</v>
      </c>
      <c r="AC11" s="12">
        <v>18</v>
      </c>
      <c r="AD11" s="12">
        <v>19</v>
      </c>
      <c r="AE11" s="12">
        <v>12</v>
      </c>
      <c r="AF11" s="12">
        <v>18</v>
      </c>
      <c r="AG11" s="12">
        <v>18</v>
      </c>
      <c r="AH11" s="14">
        <v>18</v>
      </c>
      <c r="AI11" s="221">
        <f t="shared" si="0"/>
        <v>538</v>
      </c>
      <c r="AJ11" s="417"/>
    </row>
    <row r="12" spans="2:37" ht="15.6" x14ac:dyDescent="0.3">
      <c r="B12" s="414"/>
      <c r="C12" s="253">
        <v>41640</v>
      </c>
      <c r="D12" s="191">
        <v>18</v>
      </c>
      <c r="E12" s="12">
        <v>18</v>
      </c>
      <c r="F12" s="12">
        <v>19</v>
      </c>
      <c r="G12" s="12">
        <v>12</v>
      </c>
      <c r="H12" s="12">
        <v>18</v>
      </c>
      <c r="I12" s="12">
        <v>18</v>
      </c>
      <c r="J12" s="12">
        <v>18</v>
      </c>
      <c r="K12" s="12">
        <v>18</v>
      </c>
      <c r="L12" s="12">
        <v>18</v>
      </c>
      <c r="M12" s="12">
        <v>19</v>
      </c>
      <c r="N12" s="12">
        <v>14</v>
      </c>
      <c r="O12" s="12">
        <v>15</v>
      </c>
      <c r="P12" s="12">
        <v>18</v>
      </c>
      <c r="Q12" s="12">
        <v>18</v>
      </c>
      <c r="R12" s="12">
        <v>18</v>
      </c>
      <c r="S12" s="12">
        <v>18</v>
      </c>
      <c r="T12" s="12">
        <v>19</v>
      </c>
      <c r="U12" s="12">
        <v>14</v>
      </c>
      <c r="V12" s="12">
        <v>15</v>
      </c>
      <c r="W12" s="12">
        <v>18</v>
      </c>
      <c r="X12" s="12">
        <v>18</v>
      </c>
      <c r="Y12" s="12">
        <v>18</v>
      </c>
      <c r="Z12" s="12">
        <v>18</v>
      </c>
      <c r="AA12" s="12">
        <v>19</v>
      </c>
      <c r="AB12" s="12">
        <v>14</v>
      </c>
      <c r="AC12" s="12">
        <v>15</v>
      </c>
      <c r="AD12" s="12">
        <v>18</v>
      </c>
      <c r="AE12" s="12">
        <v>18</v>
      </c>
      <c r="AF12" s="12">
        <v>18</v>
      </c>
      <c r="AG12" s="12">
        <v>18</v>
      </c>
      <c r="AH12" s="14">
        <v>19</v>
      </c>
      <c r="AI12" s="221">
        <f t="shared" si="0"/>
        <v>536</v>
      </c>
      <c r="AJ12" s="417"/>
    </row>
    <row r="13" spans="2:37" ht="15.6" x14ac:dyDescent="0.3">
      <c r="B13" s="414"/>
      <c r="C13" s="253">
        <v>41671</v>
      </c>
      <c r="D13" s="191">
        <v>14</v>
      </c>
      <c r="E13" s="12">
        <v>15</v>
      </c>
      <c r="F13" s="12">
        <v>18</v>
      </c>
      <c r="G13" s="12">
        <v>18</v>
      </c>
      <c r="H13" s="12">
        <v>18</v>
      </c>
      <c r="I13" s="12">
        <v>18</v>
      </c>
      <c r="J13" s="12">
        <v>19</v>
      </c>
      <c r="K13" s="12">
        <v>14</v>
      </c>
      <c r="L13" s="12">
        <v>15</v>
      </c>
      <c r="M13" s="12">
        <v>18</v>
      </c>
      <c r="N13" s="12">
        <v>18</v>
      </c>
      <c r="O13" s="12">
        <v>18</v>
      </c>
      <c r="P13" s="12">
        <v>18</v>
      </c>
      <c r="Q13" s="12">
        <v>19</v>
      </c>
      <c r="R13" s="12">
        <v>14</v>
      </c>
      <c r="S13" s="12">
        <v>15</v>
      </c>
      <c r="T13" s="12">
        <v>18</v>
      </c>
      <c r="U13" s="12">
        <v>18</v>
      </c>
      <c r="V13" s="12">
        <v>18</v>
      </c>
      <c r="W13" s="12">
        <v>18</v>
      </c>
      <c r="X13" s="12">
        <v>19</v>
      </c>
      <c r="Y13" s="12">
        <v>14</v>
      </c>
      <c r="Z13" s="12">
        <v>15</v>
      </c>
      <c r="AA13" s="12">
        <v>18</v>
      </c>
      <c r="AB13" s="12">
        <v>18</v>
      </c>
      <c r="AC13" s="12">
        <v>18</v>
      </c>
      <c r="AD13" s="12">
        <v>18</v>
      </c>
      <c r="AE13" s="12">
        <v>19</v>
      </c>
      <c r="AF13" s="189"/>
      <c r="AG13" s="189"/>
      <c r="AH13" s="216"/>
      <c r="AI13" s="221">
        <f t="shared" si="0"/>
        <v>480</v>
      </c>
      <c r="AJ13" s="417"/>
      <c r="AK13" s="31"/>
    </row>
    <row r="14" spans="2:37" ht="15.6" x14ac:dyDescent="0.3">
      <c r="B14" s="414"/>
      <c r="C14" s="253">
        <v>41699</v>
      </c>
      <c r="D14" s="191">
        <v>14</v>
      </c>
      <c r="E14" s="12">
        <v>15</v>
      </c>
      <c r="F14" s="12">
        <v>18</v>
      </c>
      <c r="G14" s="12">
        <v>18</v>
      </c>
      <c r="H14" s="12">
        <v>18</v>
      </c>
      <c r="I14" s="12">
        <v>18</v>
      </c>
      <c r="J14" s="12">
        <v>19</v>
      </c>
      <c r="K14" s="12">
        <v>14</v>
      </c>
      <c r="L14" s="12">
        <v>15</v>
      </c>
      <c r="M14" s="12">
        <v>18</v>
      </c>
      <c r="N14" s="12">
        <v>18</v>
      </c>
      <c r="O14" s="12">
        <v>18</v>
      </c>
      <c r="P14" s="12">
        <v>18</v>
      </c>
      <c r="Q14" s="12">
        <v>19</v>
      </c>
      <c r="R14" s="12">
        <v>14</v>
      </c>
      <c r="S14" s="12">
        <v>15</v>
      </c>
      <c r="T14" s="12">
        <v>18</v>
      </c>
      <c r="U14" s="12">
        <v>18</v>
      </c>
      <c r="V14" s="12">
        <v>18</v>
      </c>
      <c r="W14" s="12">
        <v>18</v>
      </c>
      <c r="X14" s="12">
        <v>19</v>
      </c>
      <c r="Y14" s="12">
        <v>14</v>
      </c>
      <c r="Z14" s="12">
        <v>15</v>
      </c>
      <c r="AA14" s="12">
        <v>18</v>
      </c>
      <c r="AB14" s="12">
        <v>18</v>
      </c>
      <c r="AC14" s="12">
        <v>18</v>
      </c>
      <c r="AD14" s="12">
        <v>18</v>
      </c>
      <c r="AE14" s="12">
        <v>19</v>
      </c>
      <c r="AF14" s="12">
        <v>14</v>
      </c>
      <c r="AG14" s="12">
        <v>15</v>
      </c>
      <c r="AH14" s="14">
        <v>18</v>
      </c>
      <c r="AI14" s="221">
        <f t="shared" si="0"/>
        <v>527</v>
      </c>
      <c r="AJ14" s="417"/>
    </row>
    <row r="15" spans="2:37" ht="15.6" x14ac:dyDescent="0.3">
      <c r="B15" s="414"/>
      <c r="C15" s="253">
        <v>41730</v>
      </c>
      <c r="D15" s="191">
        <v>18</v>
      </c>
      <c r="E15" s="12">
        <v>18</v>
      </c>
      <c r="F15" s="12">
        <v>18</v>
      </c>
      <c r="G15" s="12">
        <v>19</v>
      </c>
      <c r="H15" s="12">
        <v>14</v>
      </c>
      <c r="I15" s="12">
        <v>15</v>
      </c>
      <c r="J15" s="12">
        <v>18</v>
      </c>
      <c r="K15" s="12">
        <v>18</v>
      </c>
      <c r="L15" s="12">
        <v>18</v>
      </c>
      <c r="M15" s="12">
        <v>18</v>
      </c>
      <c r="N15" s="12">
        <v>19</v>
      </c>
      <c r="O15" s="12">
        <v>14</v>
      </c>
      <c r="P15" s="12">
        <v>15</v>
      </c>
      <c r="Q15" s="12">
        <v>18</v>
      </c>
      <c r="R15" s="12">
        <v>18</v>
      </c>
      <c r="S15" s="12">
        <v>18</v>
      </c>
      <c r="T15" s="12">
        <v>18</v>
      </c>
      <c r="U15" s="12">
        <v>19</v>
      </c>
      <c r="V15" s="12">
        <v>15</v>
      </c>
      <c r="W15" s="12">
        <v>16</v>
      </c>
      <c r="X15" s="12">
        <v>18</v>
      </c>
      <c r="Y15" s="12">
        <v>18</v>
      </c>
      <c r="Z15" s="12">
        <v>18</v>
      </c>
      <c r="AA15" s="12">
        <v>18</v>
      </c>
      <c r="AB15" s="12">
        <v>19</v>
      </c>
      <c r="AC15" s="12">
        <v>14</v>
      </c>
      <c r="AD15" s="12">
        <v>15</v>
      </c>
      <c r="AE15" s="12">
        <v>18</v>
      </c>
      <c r="AF15" s="12">
        <v>18</v>
      </c>
      <c r="AG15" s="12">
        <v>18</v>
      </c>
      <c r="AH15" s="216"/>
      <c r="AI15" s="221">
        <f t="shared" si="0"/>
        <v>518</v>
      </c>
      <c r="AJ15" s="417"/>
    </row>
    <row r="16" spans="2:37" ht="16.2" thickBot="1" x14ac:dyDescent="0.35">
      <c r="B16" s="415"/>
      <c r="C16" s="254">
        <v>41760</v>
      </c>
      <c r="D16" s="192">
        <v>18</v>
      </c>
      <c r="E16" s="18">
        <v>19</v>
      </c>
      <c r="F16" s="18">
        <v>14</v>
      </c>
      <c r="G16" s="18">
        <v>15</v>
      </c>
      <c r="H16" s="18">
        <v>18</v>
      </c>
      <c r="I16" s="18">
        <v>18</v>
      </c>
      <c r="J16" s="18">
        <v>18</v>
      </c>
      <c r="K16" s="18">
        <v>18</v>
      </c>
      <c r="L16" s="18">
        <v>19</v>
      </c>
      <c r="M16" s="18">
        <v>14</v>
      </c>
      <c r="N16" s="18">
        <v>15</v>
      </c>
      <c r="O16" s="18">
        <v>18</v>
      </c>
      <c r="P16" s="18">
        <v>18</v>
      </c>
      <c r="Q16" s="18">
        <v>18</v>
      </c>
      <c r="R16" s="18">
        <v>18</v>
      </c>
      <c r="S16" s="18">
        <v>19</v>
      </c>
      <c r="T16" s="18">
        <v>14</v>
      </c>
      <c r="U16" s="18">
        <v>15</v>
      </c>
      <c r="V16" s="18">
        <v>18</v>
      </c>
      <c r="W16" s="18">
        <v>18</v>
      </c>
      <c r="X16" s="18">
        <v>18</v>
      </c>
      <c r="Y16" s="18">
        <v>18</v>
      </c>
      <c r="Z16" s="18">
        <v>19</v>
      </c>
      <c r="AA16" s="18">
        <v>14</v>
      </c>
      <c r="AB16" s="18">
        <v>15</v>
      </c>
      <c r="AC16" s="18">
        <v>18</v>
      </c>
      <c r="AD16" s="18">
        <v>18</v>
      </c>
      <c r="AE16" s="18">
        <v>18</v>
      </c>
      <c r="AF16" s="18">
        <v>18</v>
      </c>
      <c r="AG16" s="18">
        <v>19</v>
      </c>
      <c r="AH16" s="19">
        <v>14</v>
      </c>
      <c r="AI16" s="222">
        <f t="shared" si="0"/>
        <v>531</v>
      </c>
      <c r="AJ16" s="419"/>
    </row>
    <row r="17" spans="2:36" ht="15.6" x14ac:dyDescent="0.3">
      <c r="B17" s="413">
        <v>2</v>
      </c>
      <c r="C17" s="255">
        <v>41791</v>
      </c>
      <c r="D17" s="190">
        <v>15</v>
      </c>
      <c r="E17" s="15">
        <v>18</v>
      </c>
      <c r="F17" s="15">
        <v>18</v>
      </c>
      <c r="G17" s="15">
        <v>18</v>
      </c>
      <c r="H17" s="15">
        <v>18</v>
      </c>
      <c r="I17" s="15">
        <v>19</v>
      </c>
      <c r="J17" s="15">
        <v>14</v>
      </c>
      <c r="K17" s="15">
        <v>15</v>
      </c>
      <c r="L17" s="15">
        <v>18</v>
      </c>
      <c r="M17" s="15">
        <v>18</v>
      </c>
      <c r="N17" s="15">
        <v>18</v>
      </c>
      <c r="O17" s="16">
        <v>18</v>
      </c>
      <c r="P17" s="16">
        <v>19</v>
      </c>
      <c r="Q17" s="16">
        <v>14</v>
      </c>
      <c r="R17" s="16">
        <v>16</v>
      </c>
      <c r="S17" s="16">
        <v>22</v>
      </c>
      <c r="T17" s="16">
        <v>22</v>
      </c>
      <c r="U17" s="16">
        <v>22</v>
      </c>
      <c r="V17" s="16">
        <v>22</v>
      </c>
      <c r="W17" s="16">
        <v>22</v>
      </c>
      <c r="X17" s="16">
        <v>16</v>
      </c>
      <c r="Y17" s="16">
        <v>19</v>
      </c>
      <c r="Z17" s="16">
        <v>22</v>
      </c>
      <c r="AA17" s="16">
        <v>22</v>
      </c>
      <c r="AB17" s="16">
        <v>22</v>
      </c>
      <c r="AC17" s="16">
        <v>22</v>
      </c>
      <c r="AD17" s="16">
        <v>22</v>
      </c>
      <c r="AE17" s="16">
        <v>16</v>
      </c>
      <c r="AF17" s="16">
        <v>19</v>
      </c>
      <c r="AG17" s="16">
        <v>22</v>
      </c>
      <c r="AH17" s="217"/>
      <c r="AI17" s="220">
        <f t="shared" si="0"/>
        <v>568</v>
      </c>
      <c r="AJ17" s="416">
        <f t="shared" ref="AJ17" si="1">SUM(AI17:AI28)</f>
        <v>7592</v>
      </c>
    </row>
    <row r="18" spans="2:36" ht="15.6" x14ac:dyDescent="0.3">
      <c r="B18" s="414"/>
      <c r="C18" s="253">
        <v>41821</v>
      </c>
      <c r="D18" s="191">
        <v>22</v>
      </c>
      <c r="E18" s="12">
        <v>22</v>
      </c>
      <c r="F18" s="12">
        <v>22</v>
      </c>
      <c r="G18" s="12">
        <v>22</v>
      </c>
      <c r="H18" s="12">
        <v>16</v>
      </c>
      <c r="I18" s="12">
        <v>19</v>
      </c>
      <c r="J18" s="12">
        <v>22</v>
      </c>
      <c r="K18" s="12">
        <v>22</v>
      </c>
      <c r="L18" s="12">
        <v>22</v>
      </c>
      <c r="M18" s="12">
        <v>22</v>
      </c>
      <c r="N18" s="12">
        <v>22</v>
      </c>
      <c r="O18" s="12">
        <v>16</v>
      </c>
      <c r="P18" s="12">
        <v>19</v>
      </c>
      <c r="Q18" s="12">
        <v>22</v>
      </c>
      <c r="R18" s="12">
        <v>22</v>
      </c>
      <c r="S18" s="12">
        <v>22</v>
      </c>
      <c r="T18" s="12">
        <v>22</v>
      </c>
      <c r="U18" s="12">
        <v>22</v>
      </c>
      <c r="V18" s="12">
        <v>16</v>
      </c>
      <c r="W18" s="12">
        <v>19</v>
      </c>
      <c r="X18" s="12">
        <v>22</v>
      </c>
      <c r="Y18" s="12">
        <v>22</v>
      </c>
      <c r="Z18" s="12">
        <v>22</v>
      </c>
      <c r="AA18" s="12">
        <v>22</v>
      </c>
      <c r="AB18" s="12">
        <v>22</v>
      </c>
      <c r="AC18" s="12">
        <v>16</v>
      </c>
      <c r="AD18" s="12">
        <v>19</v>
      </c>
      <c r="AE18" s="12">
        <v>22</v>
      </c>
      <c r="AF18" s="12">
        <v>22</v>
      </c>
      <c r="AG18" s="12">
        <v>22</v>
      </c>
      <c r="AH18" s="14">
        <v>22</v>
      </c>
      <c r="AI18" s="221">
        <f t="shared" si="0"/>
        <v>646</v>
      </c>
      <c r="AJ18" s="417"/>
    </row>
    <row r="19" spans="2:36" ht="15.6" x14ac:dyDescent="0.3">
      <c r="B19" s="414"/>
      <c r="C19" s="253">
        <v>41852</v>
      </c>
      <c r="D19" s="191">
        <v>22</v>
      </c>
      <c r="E19" s="12">
        <v>16</v>
      </c>
      <c r="F19" s="12">
        <v>19</v>
      </c>
      <c r="G19" s="12">
        <v>22</v>
      </c>
      <c r="H19" s="12">
        <v>22</v>
      </c>
      <c r="I19" s="12">
        <v>22</v>
      </c>
      <c r="J19" s="12">
        <v>22</v>
      </c>
      <c r="K19" s="12">
        <v>22</v>
      </c>
      <c r="L19" s="12">
        <v>16</v>
      </c>
      <c r="M19" s="12">
        <v>19</v>
      </c>
      <c r="N19" s="12">
        <v>22</v>
      </c>
      <c r="O19" s="12">
        <v>22</v>
      </c>
      <c r="P19" s="12">
        <v>22</v>
      </c>
      <c r="Q19" s="12">
        <v>22</v>
      </c>
      <c r="R19" s="12">
        <v>22</v>
      </c>
      <c r="S19" s="12">
        <v>16</v>
      </c>
      <c r="T19" s="12">
        <v>19</v>
      </c>
      <c r="U19" s="12">
        <v>22</v>
      </c>
      <c r="V19" s="12">
        <v>22</v>
      </c>
      <c r="W19" s="12">
        <v>22</v>
      </c>
      <c r="X19" s="12">
        <v>22</v>
      </c>
      <c r="Y19" s="12">
        <v>22</v>
      </c>
      <c r="Z19" s="12">
        <v>16</v>
      </c>
      <c r="AA19" s="12">
        <v>19</v>
      </c>
      <c r="AB19" s="12">
        <v>22</v>
      </c>
      <c r="AC19" s="12">
        <v>22</v>
      </c>
      <c r="AD19" s="12">
        <v>22</v>
      </c>
      <c r="AE19" s="12">
        <v>22</v>
      </c>
      <c r="AF19" s="12">
        <v>22</v>
      </c>
      <c r="AG19" s="12">
        <v>16</v>
      </c>
      <c r="AH19" s="14">
        <v>19</v>
      </c>
      <c r="AI19" s="221">
        <f t="shared" si="0"/>
        <v>637</v>
      </c>
      <c r="AJ19" s="417"/>
    </row>
    <row r="20" spans="2:36" ht="15.6" x14ac:dyDescent="0.3">
      <c r="B20" s="414"/>
      <c r="C20" s="253">
        <v>41883</v>
      </c>
      <c r="D20" s="191">
        <v>22</v>
      </c>
      <c r="E20" s="12">
        <v>22</v>
      </c>
      <c r="F20" s="12">
        <v>22</v>
      </c>
      <c r="G20" s="12">
        <v>22</v>
      </c>
      <c r="H20" s="12">
        <v>22</v>
      </c>
      <c r="I20" s="12">
        <v>16</v>
      </c>
      <c r="J20" s="12">
        <v>19</v>
      </c>
      <c r="K20" s="12">
        <v>22</v>
      </c>
      <c r="L20" s="12">
        <v>22</v>
      </c>
      <c r="M20" s="12">
        <v>22</v>
      </c>
      <c r="N20" s="12">
        <v>22</v>
      </c>
      <c r="O20" s="12">
        <v>22</v>
      </c>
      <c r="P20" s="12">
        <v>16</v>
      </c>
      <c r="Q20" s="12">
        <v>19</v>
      </c>
      <c r="R20" s="12">
        <v>22</v>
      </c>
      <c r="S20" s="12">
        <v>22</v>
      </c>
      <c r="T20" s="12">
        <v>22</v>
      </c>
      <c r="U20" s="12">
        <v>22</v>
      </c>
      <c r="V20" s="12">
        <v>22</v>
      </c>
      <c r="W20" s="12">
        <v>16</v>
      </c>
      <c r="X20" s="12">
        <v>19</v>
      </c>
      <c r="Y20" s="12">
        <v>22</v>
      </c>
      <c r="Z20" s="12">
        <v>22</v>
      </c>
      <c r="AA20" s="12">
        <v>22</v>
      </c>
      <c r="AB20" s="12">
        <v>22</v>
      </c>
      <c r="AC20" s="12">
        <v>22</v>
      </c>
      <c r="AD20" s="12">
        <v>16</v>
      </c>
      <c r="AE20" s="12">
        <v>19</v>
      </c>
      <c r="AF20" s="12">
        <v>22</v>
      </c>
      <c r="AG20" s="12">
        <v>22</v>
      </c>
      <c r="AH20" s="216"/>
      <c r="AI20" s="221">
        <f t="shared" si="0"/>
        <v>624</v>
      </c>
      <c r="AJ20" s="417"/>
    </row>
    <row r="21" spans="2:36" ht="15.6" x14ac:dyDescent="0.3">
      <c r="B21" s="414"/>
      <c r="C21" s="253">
        <v>41913</v>
      </c>
      <c r="D21" s="191">
        <v>22</v>
      </c>
      <c r="E21" s="12">
        <v>22</v>
      </c>
      <c r="F21" s="12">
        <v>22</v>
      </c>
      <c r="G21" s="12">
        <v>16</v>
      </c>
      <c r="H21" s="12">
        <v>19</v>
      </c>
      <c r="I21" s="12">
        <v>22</v>
      </c>
      <c r="J21" s="12">
        <v>22</v>
      </c>
      <c r="K21" s="12">
        <v>22</v>
      </c>
      <c r="L21" s="12">
        <v>22</v>
      </c>
      <c r="M21" s="12">
        <v>22</v>
      </c>
      <c r="N21" s="12">
        <v>16</v>
      </c>
      <c r="O21" s="12">
        <v>19</v>
      </c>
      <c r="P21" s="12">
        <v>22</v>
      </c>
      <c r="Q21" s="12">
        <v>22</v>
      </c>
      <c r="R21" s="12">
        <v>22</v>
      </c>
      <c r="S21" s="12">
        <v>22</v>
      </c>
      <c r="T21" s="12">
        <v>22</v>
      </c>
      <c r="U21" s="12">
        <v>16</v>
      </c>
      <c r="V21" s="12">
        <v>19</v>
      </c>
      <c r="W21" s="12">
        <v>22</v>
      </c>
      <c r="X21" s="12">
        <v>22</v>
      </c>
      <c r="Y21" s="12">
        <v>22</v>
      </c>
      <c r="Z21" s="12">
        <v>22</v>
      </c>
      <c r="AA21" s="12">
        <v>22</v>
      </c>
      <c r="AB21" s="12">
        <v>16</v>
      </c>
      <c r="AC21" s="12">
        <v>19</v>
      </c>
      <c r="AD21" s="12">
        <v>22</v>
      </c>
      <c r="AE21" s="12">
        <v>22</v>
      </c>
      <c r="AF21" s="12">
        <v>22</v>
      </c>
      <c r="AG21" s="12">
        <v>22</v>
      </c>
      <c r="AH21" s="14">
        <v>22</v>
      </c>
      <c r="AI21" s="221">
        <f t="shared" si="0"/>
        <v>646</v>
      </c>
      <c r="AJ21" s="417"/>
    </row>
    <row r="22" spans="2:36" ht="15.6" x14ac:dyDescent="0.3">
      <c r="B22" s="414"/>
      <c r="C22" s="253">
        <v>41944</v>
      </c>
      <c r="D22" s="191">
        <v>16</v>
      </c>
      <c r="E22" s="12">
        <v>19</v>
      </c>
      <c r="F22" s="12">
        <v>22</v>
      </c>
      <c r="G22" s="12">
        <v>22</v>
      </c>
      <c r="H22" s="12">
        <v>22</v>
      </c>
      <c r="I22" s="12">
        <v>22</v>
      </c>
      <c r="J22" s="12">
        <v>22</v>
      </c>
      <c r="K22" s="12">
        <v>16</v>
      </c>
      <c r="L22" s="12">
        <v>19</v>
      </c>
      <c r="M22" s="12">
        <v>22</v>
      </c>
      <c r="N22" s="12">
        <v>22</v>
      </c>
      <c r="O22" s="12">
        <v>22</v>
      </c>
      <c r="P22" s="12">
        <v>22</v>
      </c>
      <c r="Q22" s="12">
        <v>22</v>
      </c>
      <c r="R22" s="12">
        <v>16</v>
      </c>
      <c r="S22" s="12">
        <v>19</v>
      </c>
      <c r="T22" s="12">
        <v>22</v>
      </c>
      <c r="U22" s="12">
        <v>22</v>
      </c>
      <c r="V22" s="12">
        <v>22</v>
      </c>
      <c r="W22" s="12">
        <v>22</v>
      </c>
      <c r="X22" s="12">
        <v>22</v>
      </c>
      <c r="Y22" s="12">
        <v>16</v>
      </c>
      <c r="Z22" s="12">
        <v>19</v>
      </c>
      <c r="AA22" s="12">
        <v>22</v>
      </c>
      <c r="AB22" s="12">
        <v>22</v>
      </c>
      <c r="AC22" s="12">
        <v>22</v>
      </c>
      <c r="AD22" s="12">
        <v>22</v>
      </c>
      <c r="AE22" s="12">
        <v>22</v>
      </c>
      <c r="AF22" s="12">
        <v>16</v>
      </c>
      <c r="AG22" s="12">
        <v>19</v>
      </c>
      <c r="AH22" s="216"/>
      <c r="AI22" s="221">
        <f t="shared" si="0"/>
        <v>615</v>
      </c>
      <c r="AJ22" s="417"/>
    </row>
    <row r="23" spans="2:36" ht="15.6" x14ac:dyDescent="0.3">
      <c r="B23" s="414"/>
      <c r="C23" s="253">
        <v>41974</v>
      </c>
      <c r="D23" s="191">
        <v>22</v>
      </c>
      <c r="E23" s="12">
        <v>22</v>
      </c>
      <c r="F23" s="12">
        <v>22</v>
      </c>
      <c r="G23" s="12">
        <v>22</v>
      </c>
      <c r="H23" s="12">
        <v>22</v>
      </c>
      <c r="I23" s="12">
        <v>16</v>
      </c>
      <c r="J23" s="12">
        <v>19</v>
      </c>
      <c r="K23" s="12">
        <v>22</v>
      </c>
      <c r="L23" s="12">
        <v>22</v>
      </c>
      <c r="M23" s="12">
        <v>22</v>
      </c>
      <c r="N23" s="12">
        <v>22</v>
      </c>
      <c r="O23" s="12">
        <v>22</v>
      </c>
      <c r="P23" s="12">
        <v>16</v>
      </c>
      <c r="Q23" s="12">
        <v>19</v>
      </c>
      <c r="R23" s="12">
        <v>22</v>
      </c>
      <c r="S23" s="12">
        <v>22</v>
      </c>
      <c r="T23" s="12">
        <v>22</v>
      </c>
      <c r="U23" s="12">
        <v>22</v>
      </c>
      <c r="V23" s="12">
        <v>22</v>
      </c>
      <c r="W23" s="12">
        <v>16</v>
      </c>
      <c r="X23" s="12">
        <v>19</v>
      </c>
      <c r="Y23" s="12">
        <v>22</v>
      </c>
      <c r="Z23" s="12">
        <v>22</v>
      </c>
      <c r="AA23" s="12">
        <v>22</v>
      </c>
      <c r="AB23" s="12">
        <v>22</v>
      </c>
      <c r="AC23" s="12">
        <v>22</v>
      </c>
      <c r="AD23" s="12">
        <v>16</v>
      </c>
      <c r="AE23" s="12">
        <v>19</v>
      </c>
      <c r="AF23" s="12">
        <v>22</v>
      </c>
      <c r="AG23" s="12">
        <v>22</v>
      </c>
      <c r="AH23" s="14">
        <v>22</v>
      </c>
      <c r="AI23" s="221">
        <f t="shared" si="0"/>
        <v>646</v>
      </c>
      <c r="AJ23" s="417"/>
    </row>
    <row r="24" spans="2:36" ht="15.6" x14ac:dyDescent="0.3">
      <c r="B24" s="414"/>
      <c r="C24" s="253">
        <v>42005</v>
      </c>
      <c r="D24" s="191">
        <v>19</v>
      </c>
      <c r="E24" s="12">
        <v>22</v>
      </c>
      <c r="F24" s="12">
        <v>16</v>
      </c>
      <c r="G24" s="12">
        <v>19</v>
      </c>
      <c r="H24" s="12">
        <v>19</v>
      </c>
      <c r="I24" s="12">
        <v>19</v>
      </c>
      <c r="J24" s="12">
        <v>19</v>
      </c>
      <c r="K24" s="12">
        <v>19</v>
      </c>
      <c r="L24" s="12">
        <v>22</v>
      </c>
      <c r="M24" s="12">
        <v>16</v>
      </c>
      <c r="N24" s="12">
        <v>19</v>
      </c>
      <c r="O24" s="12">
        <v>19</v>
      </c>
      <c r="P24" s="12">
        <v>19</v>
      </c>
      <c r="Q24" s="12">
        <v>19</v>
      </c>
      <c r="R24" s="12">
        <v>19</v>
      </c>
      <c r="S24" s="12">
        <v>22</v>
      </c>
      <c r="T24" s="12">
        <v>16</v>
      </c>
      <c r="U24" s="12">
        <v>19</v>
      </c>
      <c r="V24" s="12">
        <v>19</v>
      </c>
      <c r="W24" s="12">
        <v>19</v>
      </c>
      <c r="X24" s="12">
        <v>19</v>
      </c>
      <c r="Y24" s="12">
        <v>19</v>
      </c>
      <c r="Z24" s="12">
        <v>22</v>
      </c>
      <c r="AA24" s="12">
        <v>16</v>
      </c>
      <c r="AB24" s="12">
        <v>19</v>
      </c>
      <c r="AC24" s="12">
        <v>19</v>
      </c>
      <c r="AD24" s="12">
        <v>19</v>
      </c>
      <c r="AE24" s="12">
        <v>19</v>
      </c>
      <c r="AF24" s="12">
        <v>19</v>
      </c>
      <c r="AG24" s="12">
        <v>22</v>
      </c>
      <c r="AH24" s="14">
        <v>16</v>
      </c>
      <c r="AI24" s="221">
        <f t="shared" si="0"/>
        <v>589</v>
      </c>
      <c r="AJ24" s="417"/>
    </row>
    <row r="25" spans="2:36" ht="15.6" x14ac:dyDescent="0.3">
      <c r="B25" s="414"/>
      <c r="C25" s="253">
        <v>42036</v>
      </c>
      <c r="D25" s="191">
        <v>21</v>
      </c>
      <c r="E25" s="12">
        <v>22</v>
      </c>
      <c r="F25" s="12">
        <v>22</v>
      </c>
      <c r="G25" s="12">
        <v>22</v>
      </c>
      <c r="H25" s="12">
        <v>22</v>
      </c>
      <c r="I25" s="12">
        <v>25</v>
      </c>
      <c r="J25" s="12">
        <v>19</v>
      </c>
      <c r="K25" s="12">
        <v>22</v>
      </c>
      <c r="L25" s="12">
        <v>22</v>
      </c>
      <c r="M25" s="12">
        <v>22</v>
      </c>
      <c r="N25" s="12">
        <v>22</v>
      </c>
      <c r="O25" s="12">
        <v>22</v>
      </c>
      <c r="P25" s="12">
        <v>25</v>
      </c>
      <c r="Q25" s="12">
        <v>19</v>
      </c>
      <c r="R25" s="12">
        <v>22</v>
      </c>
      <c r="S25" s="12">
        <v>22</v>
      </c>
      <c r="T25" s="12">
        <v>22</v>
      </c>
      <c r="U25" s="12">
        <v>22</v>
      </c>
      <c r="V25" s="12">
        <v>22</v>
      </c>
      <c r="W25" s="12">
        <v>25</v>
      </c>
      <c r="X25" s="12">
        <v>19</v>
      </c>
      <c r="Y25" s="12">
        <v>22</v>
      </c>
      <c r="Z25" s="12">
        <v>22</v>
      </c>
      <c r="AA25" s="12">
        <v>22</v>
      </c>
      <c r="AB25" s="12">
        <v>22</v>
      </c>
      <c r="AC25" s="12">
        <v>22</v>
      </c>
      <c r="AD25" s="12">
        <v>25</v>
      </c>
      <c r="AE25" s="12">
        <v>19</v>
      </c>
      <c r="AF25" s="189"/>
      <c r="AG25" s="189"/>
      <c r="AH25" s="216"/>
      <c r="AI25" s="221">
        <f t="shared" si="0"/>
        <v>615</v>
      </c>
      <c r="AJ25" s="417"/>
    </row>
    <row r="26" spans="2:36" ht="15.6" x14ac:dyDescent="0.3">
      <c r="B26" s="414"/>
      <c r="C26" s="253">
        <v>42064</v>
      </c>
      <c r="D26" s="191">
        <v>22</v>
      </c>
      <c r="E26" s="12">
        <v>22</v>
      </c>
      <c r="F26" s="12">
        <v>22</v>
      </c>
      <c r="G26" s="12">
        <v>22</v>
      </c>
      <c r="H26" s="12">
        <v>22</v>
      </c>
      <c r="I26" s="12">
        <v>25</v>
      </c>
      <c r="J26" s="12">
        <v>19</v>
      </c>
      <c r="K26" s="12">
        <v>22</v>
      </c>
      <c r="L26" s="12">
        <v>22</v>
      </c>
      <c r="M26" s="12">
        <v>22</v>
      </c>
      <c r="N26" s="12">
        <v>22</v>
      </c>
      <c r="O26" s="12">
        <v>22</v>
      </c>
      <c r="P26" s="12">
        <v>25</v>
      </c>
      <c r="Q26" s="12">
        <v>19</v>
      </c>
      <c r="R26" s="12">
        <v>22</v>
      </c>
      <c r="S26" s="12">
        <v>22</v>
      </c>
      <c r="T26" s="12">
        <v>22</v>
      </c>
      <c r="U26" s="12">
        <v>22</v>
      </c>
      <c r="V26" s="12">
        <v>22</v>
      </c>
      <c r="W26" s="12">
        <v>25</v>
      </c>
      <c r="X26" s="12">
        <v>19</v>
      </c>
      <c r="Y26" s="12">
        <v>22</v>
      </c>
      <c r="Z26" s="12">
        <v>22</v>
      </c>
      <c r="AA26" s="12">
        <v>22</v>
      </c>
      <c r="AB26" s="12">
        <v>22</v>
      </c>
      <c r="AC26" s="12">
        <v>22</v>
      </c>
      <c r="AD26" s="12">
        <v>25</v>
      </c>
      <c r="AE26" s="12">
        <v>19</v>
      </c>
      <c r="AF26" s="12">
        <v>22</v>
      </c>
      <c r="AG26" s="12">
        <v>22</v>
      </c>
      <c r="AH26" s="14">
        <v>22</v>
      </c>
      <c r="AI26" s="221">
        <f t="shared" si="0"/>
        <v>682</v>
      </c>
      <c r="AJ26" s="417"/>
    </row>
    <row r="27" spans="2:36" ht="15.6" x14ac:dyDescent="0.3">
      <c r="B27" s="414"/>
      <c r="C27" s="253">
        <v>42095</v>
      </c>
      <c r="D27" s="191">
        <v>22</v>
      </c>
      <c r="E27" s="12">
        <v>22</v>
      </c>
      <c r="F27" s="12">
        <v>25</v>
      </c>
      <c r="G27" s="12">
        <v>19</v>
      </c>
      <c r="H27" s="12">
        <v>22</v>
      </c>
      <c r="I27" s="12">
        <v>22</v>
      </c>
      <c r="J27" s="12">
        <v>22</v>
      </c>
      <c r="K27" s="12">
        <v>22</v>
      </c>
      <c r="L27" s="12">
        <v>22</v>
      </c>
      <c r="M27" s="12">
        <v>25</v>
      </c>
      <c r="N27" s="12">
        <v>19</v>
      </c>
      <c r="O27" s="12">
        <v>22</v>
      </c>
      <c r="P27" s="12">
        <v>22</v>
      </c>
      <c r="Q27" s="12">
        <v>22</v>
      </c>
      <c r="R27" s="12">
        <v>22</v>
      </c>
      <c r="S27" s="12">
        <v>22</v>
      </c>
      <c r="T27" s="12">
        <v>25</v>
      </c>
      <c r="U27" s="12">
        <v>19</v>
      </c>
      <c r="V27" s="12">
        <v>22</v>
      </c>
      <c r="W27" s="12">
        <v>22</v>
      </c>
      <c r="X27" s="12">
        <v>21</v>
      </c>
      <c r="Y27" s="12">
        <v>22</v>
      </c>
      <c r="Z27" s="12">
        <v>22</v>
      </c>
      <c r="AA27" s="12">
        <v>22</v>
      </c>
      <c r="AB27" s="12">
        <v>25</v>
      </c>
      <c r="AC27" s="12">
        <v>19</v>
      </c>
      <c r="AD27" s="12">
        <v>20</v>
      </c>
      <c r="AE27" s="12">
        <v>21</v>
      </c>
      <c r="AF27" s="12">
        <v>22</v>
      </c>
      <c r="AG27" s="12">
        <v>22</v>
      </c>
      <c r="AH27" s="216"/>
      <c r="AI27" s="221">
        <f t="shared" si="0"/>
        <v>656</v>
      </c>
      <c r="AJ27" s="417"/>
    </row>
    <row r="28" spans="2:36" ht="16.2" thickBot="1" x14ac:dyDescent="0.35">
      <c r="B28" s="415"/>
      <c r="C28" s="254">
        <v>42125</v>
      </c>
      <c r="D28" s="192">
        <v>25</v>
      </c>
      <c r="E28" s="18">
        <v>19</v>
      </c>
      <c r="F28" s="18">
        <v>20</v>
      </c>
      <c r="G28" s="18">
        <v>21</v>
      </c>
      <c r="H28" s="18">
        <v>22</v>
      </c>
      <c r="I28" s="18">
        <v>22</v>
      </c>
      <c r="J28" s="18">
        <v>22</v>
      </c>
      <c r="K28" s="18">
        <v>25</v>
      </c>
      <c r="L28" s="18">
        <v>19</v>
      </c>
      <c r="M28" s="18">
        <v>20</v>
      </c>
      <c r="N28" s="18">
        <v>21</v>
      </c>
      <c r="O28" s="18">
        <v>22</v>
      </c>
      <c r="P28" s="18">
        <v>22</v>
      </c>
      <c r="Q28" s="18">
        <v>22</v>
      </c>
      <c r="R28" s="18">
        <v>25</v>
      </c>
      <c r="S28" s="18">
        <v>19</v>
      </c>
      <c r="T28" s="18">
        <v>20</v>
      </c>
      <c r="U28" s="18">
        <v>21</v>
      </c>
      <c r="V28" s="18">
        <v>22</v>
      </c>
      <c r="W28" s="18">
        <v>22</v>
      </c>
      <c r="X28" s="18">
        <v>22</v>
      </c>
      <c r="Y28" s="18">
        <v>25</v>
      </c>
      <c r="Z28" s="18">
        <v>19</v>
      </c>
      <c r="AA28" s="18">
        <v>20</v>
      </c>
      <c r="AB28" s="18">
        <v>21</v>
      </c>
      <c r="AC28" s="18">
        <v>22</v>
      </c>
      <c r="AD28" s="18">
        <v>22</v>
      </c>
      <c r="AE28" s="18">
        <v>22</v>
      </c>
      <c r="AF28" s="18">
        <v>25</v>
      </c>
      <c r="AG28" s="18">
        <v>19</v>
      </c>
      <c r="AH28" s="19">
        <v>20</v>
      </c>
      <c r="AI28" s="222">
        <f t="shared" si="0"/>
        <v>668</v>
      </c>
      <c r="AJ28" s="419"/>
    </row>
    <row r="29" spans="2:36" ht="15.6" x14ac:dyDescent="0.3">
      <c r="B29" s="413">
        <v>3</v>
      </c>
      <c r="C29" s="255">
        <v>42156</v>
      </c>
      <c r="D29" s="190">
        <v>21</v>
      </c>
      <c r="E29" s="15">
        <v>22</v>
      </c>
      <c r="F29" s="15">
        <v>22</v>
      </c>
      <c r="G29" s="15">
        <v>22</v>
      </c>
      <c r="H29" s="15">
        <v>25</v>
      </c>
      <c r="I29" s="15">
        <v>19</v>
      </c>
      <c r="J29" s="15">
        <v>20</v>
      </c>
      <c r="K29" s="15">
        <v>21</v>
      </c>
      <c r="L29" s="15">
        <v>22</v>
      </c>
      <c r="M29" s="15">
        <v>22</v>
      </c>
      <c r="N29" s="15">
        <v>22</v>
      </c>
      <c r="O29" s="16">
        <v>25</v>
      </c>
      <c r="P29" s="16">
        <v>19</v>
      </c>
      <c r="Q29" s="16">
        <v>20</v>
      </c>
      <c r="R29" s="16">
        <v>21</v>
      </c>
      <c r="S29" s="16">
        <v>22</v>
      </c>
      <c r="T29" s="16">
        <v>22</v>
      </c>
      <c r="U29" s="16">
        <v>22</v>
      </c>
      <c r="V29" s="16">
        <v>25</v>
      </c>
      <c r="W29" s="16">
        <v>19</v>
      </c>
      <c r="X29" s="16">
        <v>20</v>
      </c>
      <c r="Y29" s="16">
        <v>24</v>
      </c>
      <c r="Z29" s="16">
        <v>24</v>
      </c>
      <c r="AA29" s="16">
        <v>24</v>
      </c>
      <c r="AB29" s="16">
        <v>24</v>
      </c>
      <c r="AC29" s="16">
        <v>24</v>
      </c>
      <c r="AD29" s="16">
        <v>19</v>
      </c>
      <c r="AE29" s="16">
        <v>21</v>
      </c>
      <c r="AF29" s="16">
        <v>24</v>
      </c>
      <c r="AG29" s="16">
        <v>24</v>
      </c>
      <c r="AH29" s="217"/>
      <c r="AI29" s="220">
        <f t="shared" si="0"/>
        <v>661</v>
      </c>
      <c r="AJ29" s="416">
        <f t="shared" ref="AJ29" si="2">SUM(AI29:AI40)</f>
        <v>7390</v>
      </c>
    </row>
    <row r="30" spans="2:36" ht="15.6" x14ac:dyDescent="0.3">
      <c r="B30" s="414"/>
      <c r="C30" s="253">
        <v>42186</v>
      </c>
      <c r="D30" s="191">
        <v>24</v>
      </c>
      <c r="E30" s="12">
        <v>24</v>
      </c>
      <c r="F30" s="12">
        <v>24</v>
      </c>
      <c r="G30" s="12">
        <v>19</v>
      </c>
      <c r="H30" s="12">
        <v>21</v>
      </c>
      <c r="I30" s="12">
        <v>24</v>
      </c>
      <c r="J30" s="12">
        <v>24</v>
      </c>
      <c r="K30" s="12">
        <v>24</v>
      </c>
      <c r="L30" s="12">
        <v>24</v>
      </c>
      <c r="M30" s="12">
        <v>24</v>
      </c>
      <c r="N30" s="12">
        <v>19</v>
      </c>
      <c r="O30" s="12">
        <v>21</v>
      </c>
      <c r="P30" s="12">
        <v>24</v>
      </c>
      <c r="Q30" s="12">
        <v>24</v>
      </c>
      <c r="R30" s="12">
        <v>24</v>
      </c>
      <c r="S30" s="12">
        <v>24</v>
      </c>
      <c r="T30" s="12">
        <v>24</v>
      </c>
      <c r="U30" s="12">
        <v>19</v>
      </c>
      <c r="V30" s="12">
        <v>21</v>
      </c>
      <c r="W30" s="12">
        <v>24</v>
      </c>
      <c r="X30" s="12">
        <v>24</v>
      </c>
      <c r="Y30" s="12">
        <v>24</v>
      </c>
      <c r="Z30" s="12">
        <v>24</v>
      </c>
      <c r="AA30" s="12">
        <v>24</v>
      </c>
      <c r="AB30" s="12">
        <v>19</v>
      </c>
      <c r="AC30" s="12">
        <v>21</v>
      </c>
      <c r="AD30" s="12">
        <v>24</v>
      </c>
      <c r="AE30" s="12">
        <v>26</v>
      </c>
      <c r="AF30" s="12">
        <v>24</v>
      </c>
      <c r="AG30" s="12">
        <v>24</v>
      </c>
      <c r="AH30" s="14">
        <v>26</v>
      </c>
      <c r="AI30" s="221">
        <f t="shared" si="0"/>
        <v>716</v>
      </c>
      <c r="AJ30" s="417"/>
    </row>
    <row r="31" spans="2:36" ht="15.6" x14ac:dyDescent="0.3">
      <c r="B31" s="414"/>
      <c r="C31" s="253">
        <v>42217</v>
      </c>
      <c r="D31" s="191">
        <v>19</v>
      </c>
      <c r="E31" s="12">
        <v>23</v>
      </c>
      <c r="F31" s="12">
        <v>24</v>
      </c>
      <c r="G31" s="12">
        <v>26</v>
      </c>
      <c r="H31" s="12">
        <v>24</v>
      </c>
      <c r="I31" s="12">
        <v>24</v>
      </c>
      <c r="J31" s="12">
        <v>26</v>
      </c>
      <c r="K31" s="12">
        <v>19</v>
      </c>
      <c r="L31" s="12">
        <v>23</v>
      </c>
      <c r="M31" s="12">
        <v>24</v>
      </c>
      <c r="N31" s="12">
        <v>26</v>
      </c>
      <c r="O31" s="12">
        <v>24</v>
      </c>
      <c r="P31" s="12">
        <v>24</v>
      </c>
      <c r="Q31" s="12">
        <v>26</v>
      </c>
      <c r="R31" s="12">
        <v>19</v>
      </c>
      <c r="S31" s="12">
        <v>23</v>
      </c>
      <c r="T31" s="12">
        <v>24</v>
      </c>
      <c r="U31" s="12">
        <v>26</v>
      </c>
      <c r="V31" s="12">
        <v>24</v>
      </c>
      <c r="W31" s="12">
        <v>24</v>
      </c>
      <c r="X31" s="12">
        <v>26</v>
      </c>
      <c r="Y31" s="12">
        <v>19</v>
      </c>
      <c r="Z31" s="12">
        <v>23</v>
      </c>
      <c r="AA31" s="12">
        <v>24</v>
      </c>
      <c r="AB31" s="12">
        <v>26</v>
      </c>
      <c r="AC31" s="12">
        <v>24</v>
      </c>
      <c r="AD31" s="12">
        <v>24</v>
      </c>
      <c r="AE31" s="12">
        <v>26</v>
      </c>
      <c r="AF31" s="12">
        <v>19</v>
      </c>
      <c r="AG31" s="12">
        <v>23</v>
      </c>
      <c r="AH31" s="14">
        <v>24</v>
      </c>
      <c r="AI31" s="221">
        <f t="shared" si="0"/>
        <v>730</v>
      </c>
      <c r="AJ31" s="417"/>
    </row>
    <row r="32" spans="2:36" ht="15.6" x14ac:dyDescent="0.3">
      <c r="B32" s="414"/>
      <c r="C32" s="253">
        <v>42248</v>
      </c>
      <c r="D32" s="191">
        <v>26</v>
      </c>
      <c r="E32" s="12">
        <v>24</v>
      </c>
      <c r="F32" s="12">
        <v>24</v>
      </c>
      <c r="G32" s="12">
        <v>26</v>
      </c>
      <c r="H32" s="12">
        <v>19</v>
      </c>
      <c r="I32" s="12">
        <v>23</v>
      </c>
      <c r="J32" s="12">
        <v>24</v>
      </c>
      <c r="K32" s="12">
        <v>26</v>
      </c>
      <c r="L32" s="12">
        <v>24</v>
      </c>
      <c r="M32" s="12">
        <v>24</v>
      </c>
      <c r="N32" s="12">
        <v>26</v>
      </c>
      <c r="O32" s="12">
        <v>19</v>
      </c>
      <c r="P32" s="12">
        <v>23</v>
      </c>
      <c r="Q32" s="12">
        <v>24</v>
      </c>
      <c r="R32" s="12">
        <v>26</v>
      </c>
      <c r="S32" s="12">
        <v>24</v>
      </c>
      <c r="T32" s="12">
        <v>24</v>
      </c>
      <c r="U32" s="12">
        <v>26</v>
      </c>
      <c r="V32" s="12">
        <v>19</v>
      </c>
      <c r="W32" s="12">
        <v>23</v>
      </c>
      <c r="X32" s="12">
        <v>24</v>
      </c>
      <c r="Y32" s="12">
        <v>26</v>
      </c>
      <c r="Z32" s="12">
        <v>24</v>
      </c>
      <c r="AA32" s="12">
        <v>24</v>
      </c>
      <c r="AB32" s="12">
        <v>26</v>
      </c>
      <c r="AC32" s="12">
        <v>19</v>
      </c>
      <c r="AD32" s="12">
        <v>23</v>
      </c>
      <c r="AE32" s="12">
        <v>24</v>
      </c>
      <c r="AF32" s="12">
        <v>26</v>
      </c>
      <c r="AG32" s="12">
        <v>24</v>
      </c>
      <c r="AH32" s="216"/>
      <c r="AI32" s="221">
        <f t="shared" si="0"/>
        <v>714</v>
      </c>
      <c r="AJ32" s="417"/>
    </row>
    <row r="33" spans="2:36" ht="15.6" x14ac:dyDescent="0.3">
      <c r="B33" s="414"/>
      <c r="C33" s="253">
        <v>42278</v>
      </c>
      <c r="D33" s="191">
        <v>20</v>
      </c>
      <c r="E33" s="12">
        <v>21</v>
      </c>
      <c r="F33" s="12">
        <v>15</v>
      </c>
      <c r="G33" s="12">
        <v>19</v>
      </c>
      <c r="H33" s="12">
        <v>20</v>
      </c>
      <c r="I33" s="12">
        <v>20</v>
      </c>
      <c r="J33" s="12">
        <v>20</v>
      </c>
      <c r="K33" s="12">
        <v>22</v>
      </c>
      <c r="L33" s="12">
        <v>21</v>
      </c>
      <c r="M33" s="12">
        <v>16</v>
      </c>
      <c r="N33" s="12">
        <v>16</v>
      </c>
      <c r="O33" s="12">
        <v>20</v>
      </c>
      <c r="P33" s="12">
        <v>20</v>
      </c>
      <c r="Q33" s="12">
        <v>20</v>
      </c>
      <c r="R33" s="12">
        <v>20</v>
      </c>
      <c r="S33" s="12">
        <v>21</v>
      </c>
      <c r="T33" s="12">
        <v>16</v>
      </c>
      <c r="U33" s="12">
        <v>19</v>
      </c>
      <c r="V33" s="12">
        <v>20</v>
      </c>
      <c r="W33" s="12">
        <v>20</v>
      </c>
      <c r="X33" s="12">
        <v>20</v>
      </c>
      <c r="Y33" s="12">
        <v>20</v>
      </c>
      <c r="Z33" s="12">
        <v>21</v>
      </c>
      <c r="AA33" s="12">
        <v>16</v>
      </c>
      <c r="AB33" s="12">
        <v>19</v>
      </c>
      <c r="AC33" s="12">
        <v>20</v>
      </c>
      <c r="AD33" s="12">
        <v>20</v>
      </c>
      <c r="AE33" s="12">
        <v>20</v>
      </c>
      <c r="AF33" s="12">
        <v>20</v>
      </c>
      <c r="AG33" s="12">
        <v>21</v>
      </c>
      <c r="AH33" s="14">
        <v>16</v>
      </c>
      <c r="AI33" s="221">
        <f t="shared" si="0"/>
        <v>599</v>
      </c>
      <c r="AJ33" s="417"/>
    </row>
    <row r="34" spans="2:36" ht="15.6" x14ac:dyDescent="0.3">
      <c r="B34" s="414"/>
      <c r="C34" s="253">
        <v>42309</v>
      </c>
      <c r="D34" s="191">
        <v>17</v>
      </c>
      <c r="E34" s="12">
        <v>22</v>
      </c>
      <c r="F34" s="12">
        <v>22</v>
      </c>
      <c r="G34" s="12">
        <v>22</v>
      </c>
      <c r="H34" s="12">
        <v>22</v>
      </c>
      <c r="I34" s="12">
        <v>23</v>
      </c>
      <c r="J34" s="12">
        <v>19</v>
      </c>
      <c r="K34" s="12">
        <v>18</v>
      </c>
      <c r="L34" s="12">
        <v>23</v>
      </c>
      <c r="M34" s="12">
        <v>22</v>
      </c>
      <c r="N34" s="12">
        <v>22</v>
      </c>
      <c r="O34" s="12">
        <v>22</v>
      </c>
      <c r="P34" s="12">
        <v>23</v>
      </c>
      <c r="Q34" s="12">
        <v>19</v>
      </c>
      <c r="R34" s="12">
        <v>19</v>
      </c>
      <c r="S34" s="12">
        <v>22</v>
      </c>
      <c r="T34" s="12">
        <v>22</v>
      </c>
      <c r="U34" s="12">
        <v>22</v>
      </c>
      <c r="V34" s="12">
        <v>22</v>
      </c>
      <c r="W34" s="12">
        <v>23</v>
      </c>
      <c r="X34" s="12">
        <v>19</v>
      </c>
      <c r="Y34" s="12">
        <v>19</v>
      </c>
      <c r="Z34" s="12">
        <v>22</v>
      </c>
      <c r="AA34" s="12">
        <v>22</v>
      </c>
      <c r="AB34" s="12">
        <v>22</v>
      </c>
      <c r="AC34" s="12">
        <v>22</v>
      </c>
      <c r="AD34" s="12">
        <v>23</v>
      </c>
      <c r="AE34" s="12">
        <v>19</v>
      </c>
      <c r="AF34" s="12">
        <v>19</v>
      </c>
      <c r="AG34" s="12">
        <v>22</v>
      </c>
      <c r="AH34" s="216"/>
      <c r="AI34" s="221">
        <f t="shared" si="0"/>
        <v>635</v>
      </c>
      <c r="AJ34" s="417"/>
    </row>
    <row r="35" spans="2:36" ht="15.6" x14ac:dyDescent="0.3">
      <c r="B35" s="414"/>
      <c r="C35" s="253">
        <v>42339</v>
      </c>
      <c r="D35" s="191">
        <v>20</v>
      </c>
      <c r="E35" s="12">
        <v>20</v>
      </c>
      <c r="F35" s="12">
        <v>21</v>
      </c>
      <c r="G35" s="12">
        <v>22</v>
      </c>
      <c r="H35" s="12">
        <v>17</v>
      </c>
      <c r="I35" s="12">
        <v>15</v>
      </c>
      <c r="J35" s="12">
        <v>19</v>
      </c>
      <c r="K35" s="12">
        <v>22</v>
      </c>
      <c r="L35" s="12">
        <v>20</v>
      </c>
      <c r="M35" s="12">
        <v>20</v>
      </c>
      <c r="N35" s="12">
        <v>22</v>
      </c>
      <c r="O35" s="12">
        <v>17</v>
      </c>
      <c r="P35" s="12">
        <v>19</v>
      </c>
      <c r="Q35" s="12">
        <v>20</v>
      </c>
      <c r="R35" s="12">
        <v>20</v>
      </c>
      <c r="S35" s="12">
        <v>20</v>
      </c>
      <c r="T35" s="12">
        <v>20</v>
      </c>
      <c r="U35" s="12">
        <v>20</v>
      </c>
      <c r="V35" s="12">
        <v>17</v>
      </c>
      <c r="W35" s="12">
        <v>18</v>
      </c>
      <c r="X35" s="12">
        <v>20</v>
      </c>
      <c r="Y35" s="12">
        <v>20</v>
      </c>
      <c r="Z35" s="12">
        <v>20</v>
      </c>
      <c r="AA35" s="12">
        <v>16</v>
      </c>
      <c r="AB35" s="12">
        <v>14</v>
      </c>
      <c r="AC35" s="12">
        <v>17</v>
      </c>
      <c r="AD35" s="12">
        <v>18</v>
      </c>
      <c r="AE35" s="12">
        <v>20</v>
      </c>
      <c r="AF35" s="12">
        <v>21</v>
      </c>
      <c r="AG35" s="12">
        <v>20</v>
      </c>
      <c r="AH35" s="14">
        <v>16</v>
      </c>
      <c r="AI35" s="221">
        <f t="shared" si="0"/>
        <v>591</v>
      </c>
      <c r="AJ35" s="417"/>
    </row>
    <row r="36" spans="2:36" ht="15.6" x14ac:dyDescent="0.3">
      <c r="B36" s="414"/>
      <c r="C36" s="253">
        <v>42370</v>
      </c>
      <c r="D36" s="191">
        <v>17</v>
      </c>
      <c r="E36" s="12">
        <v>19</v>
      </c>
      <c r="F36" s="12">
        <v>20</v>
      </c>
      <c r="G36" s="12">
        <v>22</v>
      </c>
      <c r="H36" s="12">
        <v>22</v>
      </c>
      <c r="I36" s="12">
        <v>20</v>
      </c>
      <c r="J36" s="12">
        <v>22</v>
      </c>
      <c r="K36" s="12">
        <v>24</v>
      </c>
      <c r="L36" s="12">
        <v>19</v>
      </c>
      <c r="M36" s="12">
        <v>20</v>
      </c>
      <c r="N36" s="12">
        <v>22</v>
      </c>
      <c r="O36" s="12">
        <v>20</v>
      </c>
      <c r="P36" s="12">
        <v>20</v>
      </c>
      <c r="Q36" s="12">
        <v>20</v>
      </c>
      <c r="R36" s="12">
        <v>22</v>
      </c>
      <c r="S36" s="12">
        <v>17</v>
      </c>
      <c r="T36" s="12">
        <v>18</v>
      </c>
      <c r="U36" s="12">
        <v>20</v>
      </c>
      <c r="V36" s="12">
        <v>20</v>
      </c>
      <c r="W36" s="12">
        <v>20</v>
      </c>
      <c r="X36" s="12">
        <v>20</v>
      </c>
      <c r="Y36" s="12">
        <v>22</v>
      </c>
      <c r="Z36" s="12">
        <v>18</v>
      </c>
      <c r="AA36" s="12">
        <v>20</v>
      </c>
      <c r="AB36" s="12">
        <v>21</v>
      </c>
      <c r="AC36" s="12">
        <v>20</v>
      </c>
      <c r="AD36" s="12">
        <v>20</v>
      </c>
      <c r="AE36" s="12">
        <v>20</v>
      </c>
      <c r="AF36" s="12">
        <v>22</v>
      </c>
      <c r="AG36" s="12">
        <v>17</v>
      </c>
      <c r="AH36" s="14">
        <v>18</v>
      </c>
      <c r="AI36" s="221">
        <f t="shared" si="0"/>
        <v>622</v>
      </c>
      <c r="AJ36" s="417"/>
    </row>
    <row r="37" spans="2:36" ht="15.6" x14ac:dyDescent="0.3">
      <c r="B37" s="414"/>
      <c r="C37" s="253">
        <v>42401</v>
      </c>
      <c r="D37" s="191">
        <v>18</v>
      </c>
      <c r="E37" s="12">
        <v>18</v>
      </c>
      <c r="F37" s="12">
        <v>18</v>
      </c>
      <c r="G37" s="12">
        <v>18</v>
      </c>
      <c r="H37" s="12">
        <v>20</v>
      </c>
      <c r="I37" s="12">
        <v>15</v>
      </c>
      <c r="J37" s="12">
        <v>16</v>
      </c>
      <c r="K37" s="12">
        <v>18</v>
      </c>
      <c r="L37" s="12">
        <v>18</v>
      </c>
      <c r="M37" s="12">
        <v>18</v>
      </c>
      <c r="N37" s="12">
        <v>18</v>
      </c>
      <c r="O37" s="12">
        <v>20</v>
      </c>
      <c r="P37" s="12">
        <v>15</v>
      </c>
      <c r="Q37" s="12">
        <v>16</v>
      </c>
      <c r="R37" s="12">
        <v>18</v>
      </c>
      <c r="S37" s="12">
        <v>18</v>
      </c>
      <c r="T37" s="12">
        <v>18</v>
      </c>
      <c r="U37" s="12">
        <v>18</v>
      </c>
      <c r="V37" s="12">
        <v>20</v>
      </c>
      <c r="W37" s="12">
        <v>15</v>
      </c>
      <c r="X37" s="12">
        <v>16</v>
      </c>
      <c r="Y37" s="12">
        <v>18</v>
      </c>
      <c r="Z37" s="12">
        <v>18</v>
      </c>
      <c r="AA37" s="12">
        <v>18</v>
      </c>
      <c r="AB37" s="12">
        <v>18</v>
      </c>
      <c r="AC37" s="12">
        <v>20</v>
      </c>
      <c r="AD37" s="12">
        <v>15</v>
      </c>
      <c r="AE37" s="12">
        <v>16</v>
      </c>
      <c r="AF37" s="12">
        <v>18</v>
      </c>
      <c r="AG37" s="189"/>
      <c r="AH37" s="216"/>
      <c r="AI37" s="221">
        <f t="shared" si="0"/>
        <v>510</v>
      </c>
      <c r="AJ37" s="417"/>
    </row>
    <row r="38" spans="2:36" ht="15.6" x14ac:dyDescent="0.3">
      <c r="B38" s="414"/>
      <c r="C38" s="253">
        <v>42430</v>
      </c>
      <c r="D38" s="191">
        <v>18</v>
      </c>
      <c r="E38" s="12">
        <v>18</v>
      </c>
      <c r="F38" s="12">
        <v>18</v>
      </c>
      <c r="G38" s="12">
        <v>20</v>
      </c>
      <c r="H38" s="12">
        <v>15</v>
      </c>
      <c r="I38" s="12">
        <v>16</v>
      </c>
      <c r="J38" s="12">
        <v>18</v>
      </c>
      <c r="K38" s="12">
        <v>18</v>
      </c>
      <c r="L38" s="12">
        <v>18</v>
      </c>
      <c r="M38" s="12">
        <v>18</v>
      </c>
      <c r="N38" s="12">
        <v>20</v>
      </c>
      <c r="O38" s="12">
        <v>15</v>
      </c>
      <c r="P38" s="12">
        <v>16</v>
      </c>
      <c r="Q38" s="12">
        <v>18</v>
      </c>
      <c r="R38" s="12">
        <v>18</v>
      </c>
      <c r="S38" s="12">
        <v>18</v>
      </c>
      <c r="T38" s="12">
        <v>18</v>
      </c>
      <c r="U38" s="12">
        <v>20</v>
      </c>
      <c r="V38" s="12">
        <v>15</v>
      </c>
      <c r="W38" s="12">
        <v>16</v>
      </c>
      <c r="X38" s="12">
        <v>18</v>
      </c>
      <c r="Y38" s="12">
        <v>18</v>
      </c>
      <c r="Z38" s="12">
        <v>21</v>
      </c>
      <c r="AA38" s="12">
        <v>18</v>
      </c>
      <c r="AB38" s="12">
        <v>13</v>
      </c>
      <c r="AC38" s="12">
        <v>13</v>
      </c>
      <c r="AD38" s="12">
        <v>17</v>
      </c>
      <c r="AE38" s="12">
        <v>18</v>
      </c>
      <c r="AF38" s="12">
        <v>18</v>
      </c>
      <c r="AG38" s="12">
        <v>18</v>
      </c>
      <c r="AH38" s="14">
        <v>18</v>
      </c>
      <c r="AI38" s="221">
        <f t="shared" si="0"/>
        <v>541</v>
      </c>
      <c r="AJ38" s="417"/>
    </row>
    <row r="39" spans="2:36" ht="15.6" x14ac:dyDescent="0.3">
      <c r="B39" s="414"/>
      <c r="C39" s="253">
        <v>42461</v>
      </c>
      <c r="D39" s="191">
        <v>20</v>
      </c>
      <c r="E39" s="12">
        <v>15</v>
      </c>
      <c r="F39" s="12">
        <v>16</v>
      </c>
      <c r="G39" s="12">
        <v>18</v>
      </c>
      <c r="H39" s="12">
        <v>18</v>
      </c>
      <c r="I39" s="12">
        <v>18</v>
      </c>
      <c r="J39" s="12">
        <v>18</v>
      </c>
      <c r="K39" s="12">
        <v>20</v>
      </c>
      <c r="L39" s="12">
        <v>15</v>
      </c>
      <c r="M39" s="12">
        <v>16</v>
      </c>
      <c r="N39" s="12">
        <v>18</v>
      </c>
      <c r="O39" s="12">
        <v>18</v>
      </c>
      <c r="P39" s="12">
        <v>18</v>
      </c>
      <c r="Q39" s="12">
        <v>18</v>
      </c>
      <c r="R39" s="12">
        <v>20</v>
      </c>
      <c r="S39" s="12">
        <v>15</v>
      </c>
      <c r="T39" s="12">
        <v>16</v>
      </c>
      <c r="U39" s="12">
        <v>18</v>
      </c>
      <c r="V39" s="12">
        <v>18</v>
      </c>
      <c r="W39" s="12">
        <v>18</v>
      </c>
      <c r="X39" s="12">
        <v>18</v>
      </c>
      <c r="Y39" s="12">
        <v>20</v>
      </c>
      <c r="Z39" s="12">
        <v>15</v>
      </c>
      <c r="AA39" s="12">
        <v>16</v>
      </c>
      <c r="AB39" s="12">
        <v>18</v>
      </c>
      <c r="AC39" s="12">
        <v>18</v>
      </c>
      <c r="AD39" s="12">
        <v>18</v>
      </c>
      <c r="AE39" s="12">
        <v>18</v>
      </c>
      <c r="AF39" s="12">
        <v>21</v>
      </c>
      <c r="AG39" s="12">
        <v>15</v>
      </c>
      <c r="AH39" s="216"/>
      <c r="AI39" s="221">
        <f t="shared" si="0"/>
        <v>528</v>
      </c>
      <c r="AJ39" s="417"/>
    </row>
    <row r="40" spans="2:36" ht="16.2" thickBot="1" x14ac:dyDescent="0.35">
      <c r="B40" s="415"/>
      <c r="C40" s="254">
        <v>42491</v>
      </c>
      <c r="D40" s="192">
        <v>16</v>
      </c>
      <c r="E40" s="18">
        <v>18</v>
      </c>
      <c r="F40" s="18">
        <v>18</v>
      </c>
      <c r="G40" s="18">
        <v>18</v>
      </c>
      <c r="H40" s="18">
        <v>18</v>
      </c>
      <c r="I40" s="18">
        <v>20</v>
      </c>
      <c r="J40" s="18">
        <v>15</v>
      </c>
      <c r="K40" s="18">
        <v>16</v>
      </c>
      <c r="L40" s="18">
        <v>18</v>
      </c>
      <c r="M40" s="18">
        <v>18</v>
      </c>
      <c r="N40" s="18">
        <v>18</v>
      </c>
      <c r="O40" s="18">
        <v>18</v>
      </c>
      <c r="P40" s="18">
        <v>20</v>
      </c>
      <c r="Q40" s="18">
        <v>15</v>
      </c>
      <c r="R40" s="18">
        <v>16</v>
      </c>
      <c r="S40" s="18">
        <v>17</v>
      </c>
      <c r="T40" s="18">
        <v>18</v>
      </c>
      <c r="U40" s="18">
        <v>18</v>
      </c>
      <c r="V40" s="18">
        <v>18</v>
      </c>
      <c r="W40" s="18">
        <v>20</v>
      </c>
      <c r="X40" s="18">
        <v>15</v>
      </c>
      <c r="Y40" s="18">
        <v>16</v>
      </c>
      <c r="Z40" s="18">
        <v>18</v>
      </c>
      <c r="AA40" s="18">
        <v>18</v>
      </c>
      <c r="AB40" s="18">
        <v>18</v>
      </c>
      <c r="AC40" s="18">
        <v>18</v>
      </c>
      <c r="AD40" s="18">
        <v>20</v>
      </c>
      <c r="AE40" s="18">
        <v>15</v>
      </c>
      <c r="AF40" s="18">
        <v>16</v>
      </c>
      <c r="AG40" s="18">
        <v>18</v>
      </c>
      <c r="AH40" s="19">
        <v>18</v>
      </c>
      <c r="AI40" s="222">
        <f t="shared" si="0"/>
        <v>543</v>
      </c>
      <c r="AJ40" s="419"/>
    </row>
    <row r="41" spans="2:36" ht="15.6" x14ac:dyDescent="0.3">
      <c r="B41" s="413">
        <v>4</v>
      </c>
      <c r="C41" s="255">
        <v>42522</v>
      </c>
      <c r="D41" s="190">
        <v>20</v>
      </c>
      <c r="E41" s="15">
        <v>20</v>
      </c>
      <c r="F41" s="15">
        <v>22</v>
      </c>
      <c r="G41" s="15">
        <v>15</v>
      </c>
      <c r="H41" s="15">
        <v>17</v>
      </c>
      <c r="I41" s="15">
        <v>20</v>
      </c>
      <c r="J41" s="15">
        <v>20</v>
      </c>
      <c r="K41" s="15">
        <v>20</v>
      </c>
      <c r="L41" s="15">
        <v>20</v>
      </c>
      <c r="M41" s="15">
        <v>18</v>
      </c>
      <c r="N41" s="15">
        <v>17</v>
      </c>
      <c r="O41" s="16">
        <v>14</v>
      </c>
      <c r="P41" s="16">
        <v>22</v>
      </c>
      <c r="Q41" s="16">
        <v>18</v>
      </c>
      <c r="R41" s="16">
        <v>22</v>
      </c>
      <c r="S41" s="16">
        <v>18</v>
      </c>
      <c r="T41" s="16">
        <v>22</v>
      </c>
      <c r="U41" s="16">
        <v>17</v>
      </c>
      <c r="V41" s="16">
        <v>18</v>
      </c>
      <c r="W41" s="16">
        <v>22</v>
      </c>
      <c r="X41" s="16">
        <v>22</v>
      </c>
      <c r="Y41" s="16">
        <v>22</v>
      </c>
      <c r="Z41" s="16">
        <v>22</v>
      </c>
      <c r="AA41" s="16">
        <v>20</v>
      </c>
      <c r="AB41" s="16">
        <v>17</v>
      </c>
      <c r="AC41" s="16">
        <v>18</v>
      </c>
      <c r="AD41" s="16">
        <v>22</v>
      </c>
      <c r="AE41" s="16">
        <v>22</v>
      </c>
      <c r="AF41" s="16">
        <v>22</v>
      </c>
      <c r="AG41" s="16">
        <v>22</v>
      </c>
      <c r="AH41" s="217"/>
      <c r="AI41" s="220">
        <f t="shared" si="0"/>
        <v>591</v>
      </c>
      <c r="AJ41" s="416">
        <f t="shared" ref="AJ41" si="3">SUM(AI41:AI52)</f>
        <v>6810</v>
      </c>
    </row>
    <row r="42" spans="2:36" ht="15.6" x14ac:dyDescent="0.3">
      <c r="B42" s="414"/>
      <c r="C42" s="253">
        <v>42552</v>
      </c>
      <c r="D42" s="191">
        <v>22</v>
      </c>
      <c r="E42" s="12">
        <v>17</v>
      </c>
      <c r="F42" s="12">
        <v>18</v>
      </c>
      <c r="G42" s="12">
        <v>22</v>
      </c>
      <c r="H42" s="12">
        <v>22</v>
      </c>
      <c r="I42" s="12">
        <v>22</v>
      </c>
      <c r="J42" s="12">
        <v>22</v>
      </c>
      <c r="K42" s="12">
        <v>22</v>
      </c>
      <c r="L42" s="12">
        <v>17</v>
      </c>
      <c r="M42" s="12">
        <v>18</v>
      </c>
      <c r="N42" s="12">
        <v>22</v>
      </c>
      <c r="O42" s="12">
        <v>22</v>
      </c>
      <c r="P42" s="12">
        <v>22</v>
      </c>
      <c r="Q42" s="12">
        <v>22</v>
      </c>
      <c r="R42" s="12">
        <v>22</v>
      </c>
      <c r="S42" s="12">
        <v>17</v>
      </c>
      <c r="T42" s="12">
        <v>18</v>
      </c>
      <c r="U42" s="12">
        <v>22</v>
      </c>
      <c r="V42" s="12">
        <v>22</v>
      </c>
      <c r="W42" s="12">
        <v>22</v>
      </c>
      <c r="X42" s="12">
        <v>22</v>
      </c>
      <c r="Y42" s="12">
        <v>23</v>
      </c>
      <c r="Z42" s="12">
        <v>17</v>
      </c>
      <c r="AA42" s="12">
        <v>17</v>
      </c>
      <c r="AB42" s="12">
        <v>17</v>
      </c>
      <c r="AC42" s="12">
        <v>22</v>
      </c>
      <c r="AD42" s="12">
        <v>22</v>
      </c>
      <c r="AE42" s="12">
        <v>22</v>
      </c>
      <c r="AF42" s="12">
        <v>22</v>
      </c>
      <c r="AG42" s="12">
        <v>17</v>
      </c>
      <c r="AH42" s="14">
        <v>19</v>
      </c>
      <c r="AI42" s="221">
        <f t="shared" si="0"/>
        <v>633</v>
      </c>
      <c r="AJ42" s="417"/>
    </row>
    <row r="43" spans="2:36" ht="15.6" x14ac:dyDescent="0.3">
      <c r="B43" s="414"/>
      <c r="C43" s="253">
        <v>42583</v>
      </c>
      <c r="D43" s="191">
        <v>22</v>
      </c>
      <c r="E43" s="12">
        <v>22</v>
      </c>
      <c r="F43" s="12">
        <v>22</v>
      </c>
      <c r="G43" s="12">
        <v>22</v>
      </c>
      <c r="H43" s="12">
        <v>22</v>
      </c>
      <c r="I43" s="12">
        <v>17</v>
      </c>
      <c r="J43" s="12">
        <v>18</v>
      </c>
      <c r="K43" s="12">
        <v>22</v>
      </c>
      <c r="L43" s="12">
        <v>22</v>
      </c>
      <c r="M43" s="12">
        <v>22</v>
      </c>
      <c r="N43" s="12">
        <v>22</v>
      </c>
      <c r="O43" s="12">
        <v>22</v>
      </c>
      <c r="P43" s="12">
        <v>17</v>
      </c>
      <c r="Q43" s="12">
        <v>16</v>
      </c>
      <c r="R43" s="12">
        <v>21</v>
      </c>
      <c r="S43" s="12">
        <v>21</v>
      </c>
      <c r="T43" s="12">
        <v>22</v>
      </c>
      <c r="U43" s="12">
        <v>22</v>
      </c>
      <c r="V43" s="12">
        <v>22</v>
      </c>
      <c r="W43" s="12">
        <v>16</v>
      </c>
      <c r="X43" s="12">
        <v>18</v>
      </c>
      <c r="Y43" s="12">
        <v>22</v>
      </c>
      <c r="Z43" s="12">
        <v>22</v>
      </c>
      <c r="AA43" s="12">
        <v>22</v>
      </c>
      <c r="AB43" s="12">
        <v>22</v>
      </c>
      <c r="AC43" s="12">
        <v>22</v>
      </c>
      <c r="AD43" s="12">
        <v>17</v>
      </c>
      <c r="AE43" s="12">
        <v>18</v>
      </c>
      <c r="AF43" s="12">
        <v>22</v>
      </c>
      <c r="AG43" s="12">
        <v>22</v>
      </c>
      <c r="AH43" s="14">
        <v>22</v>
      </c>
      <c r="AI43" s="221">
        <f t="shared" si="0"/>
        <v>641</v>
      </c>
      <c r="AJ43" s="417"/>
    </row>
    <row r="44" spans="2:36" ht="15.6" x14ac:dyDescent="0.3">
      <c r="B44" s="414"/>
      <c r="C44" s="253">
        <v>42614</v>
      </c>
      <c r="D44" s="191">
        <v>22</v>
      </c>
      <c r="E44" s="12">
        <v>22</v>
      </c>
      <c r="F44" s="12">
        <v>12</v>
      </c>
      <c r="G44" s="12">
        <v>18</v>
      </c>
      <c r="H44" s="12">
        <v>22</v>
      </c>
      <c r="I44" s="12">
        <v>22</v>
      </c>
      <c r="J44" s="12">
        <v>22</v>
      </c>
      <c r="K44" s="12">
        <v>22</v>
      </c>
      <c r="L44" s="12">
        <v>22</v>
      </c>
      <c r="M44" s="12">
        <v>17</v>
      </c>
      <c r="N44" s="12">
        <v>18</v>
      </c>
      <c r="O44" s="12">
        <v>22</v>
      </c>
      <c r="P44" s="12">
        <v>22</v>
      </c>
      <c r="Q44" s="12">
        <v>22</v>
      </c>
      <c r="R44" s="12">
        <v>22</v>
      </c>
      <c r="S44" s="12">
        <v>22</v>
      </c>
      <c r="T44" s="12">
        <v>17</v>
      </c>
      <c r="U44" s="12">
        <v>18</v>
      </c>
      <c r="V44" s="12">
        <v>22</v>
      </c>
      <c r="W44" s="12">
        <v>22</v>
      </c>
      <c r="X44" s="12">
        <v>22</v>
      </c>
      <c r="Y44" s="12">
        <v>22</v>
      </c>
      <c r="Z44" s="12">
        <v>22</v>
      </c>
      <c r="AA44" s="12">
        <v>17</v>
      </c>
      <c r="AB44" s="12">
        <v>18</v>
      </c>
      <c r="AC44" s="12">
        <v>20</v>
      </c>
      <c r="AD44" s="12">
        <v>20</v>
      </c>
      <c r="AE44" s="12">
        <v>20</v>
      </c>
      <c r="AF44" s="12">
        <v>20</v>
      </c>
      <c r="AG44" s="12">
        <v>22</v>
      </c>
      <c r="AH44" s="216"/>
      <c r="AI44" s="221">
        <f t="shared" si="0"/>
        <v>611</v>
      </c>
      <c r="AJ44" s="417"/>
    </row>
    <row r="45" spans="2:36" ht="15.6" x14ac:dyDescent="0.3">
      <c r="B45" s="414"/>
      <c r="C45" s="253">
        <v>42644</v>
      </c>
      <c r="D45" s="191">
        <v>15</v>
      </c>
      <c r="E45" s="12">
        <v>16</v>
      </c>
      <c r="F45" s="12">
        <v>18</v>
      </c>
      <c r="G45" s="12">
        <v>18</v>
      </c>
      <c r="H45" s="12">
        <v>18</v>
      </c>
      <c r="I45" s="12">
        <v>18</v>
      </c>
      <c r="J45" s="12">
        <v>20</v>
      </c>
      <c r="K45" s="12">
        <v>15</v>
      </c>
      <c r="L45" s="12">
        <v>16</v>
      </c>
      <c r="M45" s="12">
        <v>18</v>
      </c>
      <c r="N45" s="12">
        <v>18</v>
      </c>
      <c r="O45" s="12">
        <v>18</v>
      </c>
      <c r="P45" s="12">
        <v>18</v>
      </c>
      <c r="Q45" s="12">
        <v>20</v>
      </c>
      <c r="R45" s="12">
        <v>15</v>
      </c>
      <c r="S45" s="12">
        <v>16</v>
      </c>
      <c r="T45" s="12">
        <v>18</v>
      </c>
      <c r="U45" s="12">
        <v>18</v>
      </c>
      <c r="V45" s="12">
        <v>18</v>
      </c>
      <c r="W45" s="12">
        <v>18</v>
      </c>
      <c r="X45" s="12">
        <v>20</v>
      </c>
      <c r="Y45" s="12">
        <v>15</v>
      </c>
      <c r="Z45" s="12">
        <v>16</v>
      </c>
      <c r="AA45" s="12">
        <v>18</v>
      </c>
      <c r="AB45" s="12">
        <v>18</v>
      </c>
      <c r="AC45" s="12">
        <v>18</v>
      </c>
      <c r="AD45" s="12">
        <v>18</v>
      </c>
      <c r="AE45" s="12">
        <v>20</v>
      </c>
      <c r="AF45" s="12">
        <v>15</v>
      </c>
      <c r="AG45" s="12">
        <v>16</v>
      </c>
      <c r="AH45" s="14">
        <v>18</v>
      </c>
      <c r="AI45" s="221">
        <f t="shared" si="0"/>
        <v>541</v>
      </c>
      <c r="AJ45" s="417"/>
    </row>
    <row r="46" spans="2:36" ht="15.6" x14ac:dyDescent="0.3">
      <c r="B46" s="414"/>
      <c r="C46" s="253">
        <v>42675</v>
      </c>
      <c r="D46" s="191">
        <v>19</v>
      </c>
      <c r="E46" s="12">
        <v>18</v>
      </c>
      <c r="F46" s="12">
        <v>18</v>
      </c>
      <c r="G46" s="12">
        <v>20</v>
      </c>
      <c r="H46" s="12">
        <v>15</v>
      </c>
      <c r="I46" s="12">
        <v>16</v>
      </c>
      <c r="J46" s="12">
        <v>18</v>
      </c>
      <c r="K46" s="12">
        <v>18</v>
      </c>
      <c r="L46" s="12">
        <v>18</v>
      </c>
      <c r="M46" s="12">
        <v>18</v>
      </c>
      <c r="N46" s="12">
        <v>20</v>
      </c>
      <c r="O46" s="12">
        <v>15</v>
      </c>
      <c r="P46" s="12">
        <v>16</v>
      </c>
      <c r="Q46" s="12">
        <v>18</v>
      </c>
      <c r="R46" s="12">
        <v>18</v>
      </c>
      <c r="S46" s="12">
        <v>18</v>
      </c>
      <c r="T46" s="12">
        <v>18</v>
      </c>
      <c r="U46" s="12">
        <v>20</v>
      </c>
      <c r="V46" s="12">
        <v>15</v>
      </c>
      <c r="W46" s="12">
        <v>16</v>
      </c>
      <c r="X46" s="12">
        <v>18</v>
      </c>
      <c r="Y46" s="12">
        <v>18</v>
      </c>
      <c r="Z46" s="12">
        <v>18</v>
      </c>
      <c r="AA46" s="12">
        <v>18</v>
      </c>
      <c r="AB46" s="12">
        <v>20</v>
      </c>
      <c r="AC46" s="12">
        <v>15</v>
      </c>
      <c r="AD46" s="12">
        <v>17</v>
      </c>
      <c r="AE46" s="12">
        <v>18</v>
      </c>
      <c r="AF46" s="12">
        <v>18</v>
      </c>
      <c r="AG46" s="12">
        <v>18</v>
      </c>
      <c r="AH46" s="216"/>
      <c r="AI46" s="221">
        <f t="shared" si="0"/>
        <v>530</v>
      </c>
      <c r="AJ46" s="417"/>
    </row>
    <row r="47" spans="2:36" ht="15.6" x14ac:dyDescent="0.3">
      <c r="B47" s="414"/>
      <c r="C47" s="253">
        <v>42705</v>
      </c>
      <c r="D47" s="191">
        <v>18</v>
      </c>
      <c r="E47" s="12">
        <v>20</v>
      </c>
      <c r="F47" s="12">
        <v>15</v>
      </c>
      <c r="G47" s="12">
        <v>16</v>
      </c>
      <c r="H47" s="12">
        <v>18</v>
      </c>
      <c r="I47" s="12">
        <v>18</v>
      </c>
      <c r="J47" s="12">
        <v>18</v>
      </c>
      <c r="K47" s="12">
        <v>18</v>
      </c>
      <c r="L47" s="12">
        <v>20</v>
      </c>
      <c r="M47" s="12">
        <v>15</v>
      </c>
      <c r="N47" s="12">
        <v>16</v>
      </c>
      <c r="O47" s="12">
        <v>18</v>
      </c>
      <c r="P47" s="12">
        <v>18</v>
      </c>
      <c r="Q47" s="12">
        <v>18</v>
      </c>
      <c r="R47" s="12">
        <v>18</v>
      </c>
      <c r="S47" s="12">
        <v>20</v>
      </c>
      <c r="T47" s="12">
        <v>15</v>
      </c>
      <c r="U47" s="12">
        <v>16</v>
      </c>
      <c r="V47" s="12">
        <v>18</v>
      </c>
      <c r="W47" s="12">
        <v>18</v>
      </c>
      <c r="X47" s="12">
        <v>18</v>
      </c>
      <c r="Y47" s="12">
        <v>18</v>
      </c>
      <c r="Z47" s="12">
        <v>20</v>
      </c>
      <c r="AA47" s="12">
        <v>13</v>
      </c>
      <c r="AB47" s="12">
        <v>12</v>
      </c>
      <c r="AC47" s="12">
        <v>18</v>
      </c>
      <c r="AD47" s="12">
        <v>18</v>
      </c>
      <c r="AE47" s="12">
        <v>18</v>
      </c>
      <c r="AF47" s="12">
        <v>18</v>
      </c>
      <c r="AG47" s="12">
        <v>20</v>
      </c>
      <c r="AH47" s="14">
        <v>13</v>
      </c>
      <c r="AI47" s="221">
        <f t="shared" si="0"/>
        <v>537</v>
      </c>
      <c r="AJ47" s="417"/>
    </row>
    <row r="48" spans="2:36" ht="15.6" x14ac:dyDescent="0.3">
      <c r="B48" s="414"/>
      <c r="C48" s="253">
        <v>42736</v>
      </c>
      <c r="D48" s="191">
        <v>16</v>
      </c>
      <c r="E48" s="12">
        <v>18</v>
      </c>
      <c r="F48" s="12">
        <v>18</v>
      </c>
      <c r="G48" s="12">
        <v>18</v>
      </c>
      <c r="H48" s="12">
        <v>20</v>
      </c>
      <c r="I48" s="12">
        <v>14</v>
      </c>
      <c r="J48" s="12">
        <v>15</v>
      </c>
      <c r="K48" s="12">
        <v>16</v>
      </c>
      <c r="L48" s="12">
        <v>18</v>
      </c>
      <c r="M48" s="12">
        <v>18</v>
      </c>
      <c r="N48" s="12">
        <v>18</v>
      </c>
      <c r="O48" s="12">
        <v>18</v>
      </c>
      <c r="P48" s="12">
        <v>20</v>
      </c>
      <c r="Q48" s="12">
        <v>15</v>
      </c>
      <c r="R48" s="12">
        <v>16</v>
      </c>
      <c r="S48" s="12">
        <v>18</v>
      </c>
      <c r="T48" s="12">
        <v>18</v>
      </c>
      <c r="U48" s="12">
        <v>18</v>
      </c>
      <c r="V48" s="12">
        <v>15</v>
      </c>
      <c r="W48" s="12">
        <v>14</v>
      </c>
      <c r="X48" s="12">
        <v>15</v>
      </c>
      <c r="Y48" s="12">
        <v>16</v>
      </c>
      <c r="Z48" s="12">
        <v>18</v>
      </c>
      <c r="AA48" s="12">
        <v>18</v>
      </c>
      <c r="AB48" s="12">
        <v>18</v>
      </c>
      <c r="AC48" s="12">
        <v>18</v>
      </c>
      <c r="AD48" s="12">
        <v>20</v>
      </c>
      <c r="AE48" s="12">
        <v>15</v>
      </c>
      <c r="AF48" s="12">
        <v>16</v>
      </c>
      <c r="AG48" s="12">
        <v>18</v>
      </c>
      <c r="AH48" s="14">
        <v>18</v>
      </c>
      <c r="AI48" s="221">
        <f t="shared" si="0"/>
        <v>531</v>
      </c>
      <c r="AJ48" s="417"/>
    </row>
    <row r="49" spans="2:36" ht="15.6" x14ac:dyDescent="0.3">
      <c r="B49" s="414"/>
      <c r="C49" s="253">
        <v>42767</v>
      </c>
      <c r="D49" s="191">
        <v>18</v>
      </c>
      <c r="E49" s="12">
        <v>18</v>
      </c>
      <c r="F49" s="12">
        <v>20</v>
      </c>
      <c r="G49" s="12">
        <v>15</v>
      </c>
      <c r="H49" s="12">
        <v>16</v>
      </c>
      <c r="I49" s="12">
        <v>18</v>
      </c>
      <c r="J49" s="12">
        <v>18</v>
      </c>
      <c r="K49" s="12">
        <v>17</v>
      </c>
      <c r="L49" s="12">
        <v>18</v>
      </c>
      <c r="M49" s="12">
        <v>20</v>
      </c>
      <c r="N49" s="12">
        <v>15</v>
      </c>
      <c r="O49" s="12">
        <v>15</v>
      </c>
      <c r="P49" s="12">
        <v>18</v>
      </c>
      <c r="Q49" s="12">
        <v>18</v>
      </c>
      <c r="R49" s="12">
        <v>16</v>
      </c>
      <c r="S49" s="12">
        <v>18</v>
      </c>
      <c r="T49" s="12">
        <v>20</v>
      </c>
      <c r="U49" s="12">
        <v>15</v>
      </c>
      <c r="V49" s="12">
        <v>16</v>
      </c>
      <c r="W49" s="12">
        <v>18</v>
      </c>
      <c r="X49" s="12">
        <v>18</v>
      </c>
      <c r="Y49" s="12">
        <v>18</v>
      </c>
      <c r="Z49" s="12">
        <v>18</v>
      </c>
      <c r="AA49" s="12">
        <v>20</v>
      </c>
      <c r="AB49" s="12">
        <v>15</v>
      </c>
      <c r="AC49" s="12">
        <v>16</v>
      </c>
      <c r="AD49" s="12">
        <v>18</v>
      </c>
      <c r="AE49" s="12">
        <v>16</v>
      </c>
      <c r="AF49" s="189"/>
      <c r="AG49" s="189"/>
      <c r="AH49" s="216"/>
      <c r="AI49" s="221">
        <f t="shared" si="0"/>
        <v>486</v>
      </c>
      <c r="AJ49" s="417"/>
    </row>
    <row r="50" spans="2:36" ht="15.6" x14ac:dyDescent="0.3">
      <c r="B50" s="414"/>
      <c r="C50" s="253">
        <v>42795</v>
      </c>
      <c r="D50" s="191">
        <v>18</v>
      </c>
      <c r="E50" s="12">
        <v>18</v>
      </c>
      <c r="F50" s="12">
        <v>20</v>
      </c>
      <c r="G50" s="12">
        <v>15</v>
      </c>
      <c r="H50" s="12">
        <v>16</v>
      </c>
      <c r="I50" s="12">
        <v>18</v>
      </c>
      <c r="J50" s="12">
        <v>18</v>
      </c>
      <c r="K50" s="12">
        <v>18</v>
      </c>
      <c r="L50" s="12">
        <v>18</v>
      </c>
      <c r="M50" s="12">
        <v>20</v>
      </c>
      <c r="N50" s="12">
        <v>15</v>
      </c>
      <c r="O50" s="12">
        <v>16</v>
      </c>
      <c r="P50" s="12">
        <v>18</v>
      </c>
      <c r="Q50" s="12">
        <v>18</v>
      </c>
      <c r="R50" s="12">
        <v>18</v>
      </c>
      <c r="S50" s="12">
        <v>18</v>
      </c>
      <c r="T50" s="12">
        <v>20</v>
      </c>
      <c r="U50" s="12">
        <v>15</v>
      </c>
      <c r="V50" s="12">
        <v>12</v>
      </c>
      <c r="W50" s="12">
        <v>18</v>
      </c>
      <c r="X50" s="12">
        <v>18</v>
      </c>
      <c r="Y50" s="12">
        <v>18</v>
      </c>
      <c r="Z50" s="12">
        <v>18</v>
      </c>
      <c r="AA50" s="12">
        <v>20</v>
      </c>
      <c r="AB50" s="12">
        <v>15</v>
      </c>
      <c r="AC50" s="12">
        <v>16</v>
      </c>
      <c r="AD50" s="12">
        <v>18</v>
      </c>
      <c r="AE50" s="12">
        <v>18</v>
      </c>
      <c r="AF50" s="12">
        <v>18</v>
      </c>
      <c r="AG50" s="12">
        <v>18</v>
      </c>
      <c r="AH50" s="14">
        <v>20</v>
      </c>
      <c r="AI50" s="221">
        <f t="shared" si="0"/>
        <v>544</v>
      </c>
      <c r="AJ50" s="417"/>
    </row>
    <row r="51" spans="2:36" ht="15.6" x14ac:dyDescent="0.3">
      <c r="B51" s="414"/>
      <c r="C51" s="253">
        <v>42826</v>
      </c>
      <c r="D51" s="191">
        <v>15</v>
      </c>
      <c r="E51" s="12">
        <v>16</v>
      </c>
      <c r="F51" s="12">
        <v>20</v>
      </c>
      <c r="G51" s="12">
        <v>20</v>
      </c>
      <c r="H51" s="12">
        <v>20</v>
      </c>
      <c r="I51" s="12">
        <v>20</v>
      </c>
      <c r="J51" s="12">
        <v>22</v>
      </c>
      <c r="K51" s="12">
        <v>17</v>
      </c>
      <c r="L51" s="12">
        <v>18</v>
      </c>
      <c r="M51" s="12">
        <v>20</v>
      </c>
      <c r="N51" s="12">
        <v>20</v>
      </c>
      <c r="O51" s="12">
        <v>22</v>
      </c>
      <c r="P51" s="12">
        <v>18</v>
      </c>
      <c r="Q51" s="12">
        <v>14</v>
      </c>
      <c r="R51" s="12">
        <v>15</v>
      </c>
      <c r="S51" s="12">
        <v>18</v>
      </c>
      <c r="T51" s="12">
        <v>20</v>
      </c>
      <c r="U51" s="12">
        <v>20</v>
      </c>
      <c r="V51" s="12">
        <v>20</v>
      </c>
      <c r="W51" s="12">
        <v>20</v>
      </c>
      <c r="X51" s="12">
        <v>22</v>
      </c>
      <c r="Y51" s="12">
        <v>17</v>
      </c>
      <c r="Z51" s="12">
        <v>18</v>
      </c>
      <c r="AA51" s="12">
        <v>20</v>
      </c>
      <c r="AB51" s="12">
        <v>20</v>
      </c>
      <c r="AC51" s="12">
        <v>20</v>
      </c>
      <c r="AD51" s="12">
        <v>20</v>
      </c>
      <c r="AE51" s="12">
        <v>22</v>
      </c>
      <c r="AF51" s="12">
        <v>17</v>
      </c>
      <c r="AG51" s="12">
        <v>14</v>
      </c>
      <c r="AH51" s="216"/>
      <c r="AI51" s="221">
        <f t="shared" si="0"/>
        <v>565</v>
      </c>
      <c r="AJ51" s="417"/>
    </row>
    <row r="52" spans="2:36" ht="16.2" thickBot="1" x14ac:dyDescent="0.35">
      <c r="B52" s="415"/>
      <c r="C52" s="254">
        <v>42856</v>
      </c>
      <c r="D52" s="192">
        <v>16</v>
      </c>
      <c r="E52" s="18">
        <v>18</v>
      </c>
      <c r="F52" s="18">
        <v>20</v>
      </c>
      <c r="G52" s="18">
        <v>20</v>
      </c>
      <c r="H52" s="18">
        <v>22</v>
      </c>
      <c r="I52" s="18">
        <v>17</v>
      </c>
      <c r="J52" s="18">
        <v>18</v>
      </c>
      <c r="K52" s="18">
        <v>20</v>
      </c>
      <c r="L52" s="18">
        <v>20</v>
      </c>
      <c r="M52" s="18">
        <v>20</v>
      </c>
      <c r="N52" s="18">
        <v>20</v>
      </c>
      <c r="O52" s="18">
        <v>22</v>
      </c>
      <c r="P52" s="18">
        <v>17</v>
      </c>
      <c r="Q52" s="18">
        <v>17</v>
      </c>
      <c r="R52" s="18">
        <v>19</v>
      </c>
      <c r="S52" s="18">
        <v>20</v>
      </c>
      <c r="T52" s="18">
        <v>20</v>
      </c>
      <c r="U52" s="18">
        <v>20</v>
      </c>
      <c r="V52" s="18">
        <v>22</v>
      </c>
      <c r="W52" s="18">
        <v>17</v>
      </c>
      <c r="X52" s="18">
        <v>18</v>
      </c>
      <c r="Y52" s="18">
        <v>20</v>
      </c>
      <c r="Z52" s="18">
        <v>20</v>
      </c>
      <c r="AA52" s="18">
        <v>20</v>
      </c>
      <c r="AB52" s="18">
        <v>20</v>
      </c>
      <c r="AC52" s="18">
        <v>22</v>
      </c>
      <c r="AD52" s="18">
        <v>17</v>
      </c>
      <c r="AE52" s="18">
        <v>18</v>
      </c>
      <c r="AF52" s="18">
        <v>20</v>
      </c>
      <c r="AG52" s="18">
        <v>20</v>
      </c>
      <c r="AH52" s="19">
        <v>20</v>
      </c>
      <c r="AI52" s="222">
        <f t="shared" si="0"/>
        <v>600</v>
      </c>
      <c r="AJ52" s="419"/>
    </row>
    <row r="53" spans="2:36" ht="15.6" x14ac:dyDescent="0.3">
      <c r="B53" s="413">
        <v>5</v>
      </c>
      <c r="C53" s="255">
        <v>42887</v>
      </c>
      <c r="D53" s="190">
        <v>20</v>
      </c>
      <c r="E53" s="15">
        <v>22</v>
      </c>
      <c r="F53" s="15">
        <v>17</v>
      </c>
      <c r="G53" s="15">
        <v>18</v>
      </c>
      <c r="H53" s="15">
        <v>20</v>
      </c>
      <c r="I53" s="15">
        <v>20</v>
      </c>
      <c r="J53" s="15">
        <v>20</v>
      </c>
      <c r="K53" s="15">
        <v>20</v>
      </c>
      <c r="L53" s="15">
        <v>22</v>
      </c>
      <c r="M53" s="15">
        <v>17</v>
      </c>
      <c r="N53" s="15">
        <v>18</v>
      </c>
      <c r="O53" s="16">
        <v>20</v>
      </c>
      <c r="P53" s="16">
        <v>20</v>
      </c>
      <c r="Q53" s="16">
        <v>20</v>
      </c>
      <c r="R53" s="16">
        <v>20</v>
      </c>
      <c r="S53" s="16">
        <v>22</v>
      </c>
      <c r="T53" s="16">
        <v>17</v>
      </c>
      <c r="U53" s="16">
        <v>18</v>
      </c>
      <c r="V53" s="16">
        <v>22</v>
      </c>
      <c r="W53" s="16">
        <v>22</v>
      </c>
      <c r="X53" s="16">
        <v>22</v>
      </c>
      <c r="Y53" s="16">
        <v>22</v>
      </c>
      <c r="Z53" s="16">
        <v>22</v>
      </c>
      <c r="AA53" s="16">
        <v>17</v>
      </c>
      <c r="AB53" s="16">
        <v>19</v>
      </c>
      <c r="AC53" s="16">
        <v>22</v>
      </c>
      <c r="AD53" s="16">
        <v>22</v>
      </c>
      <c r="AE53" s="16">
        <v>22</v>
      </c>
      <c r="AF53" s="16">
        <v>22</v>
      </c>
      <c r="AG53" s="16">
        <v>22</v>
      </c>
      <c r="AH53" s="217"/>
      <c r="AI53" s="220">
        <f t="shared" si="0"/>
        <v>607</v>
      </c>
      <c r="AJ53" s="416">
        <f t="shared" ref="AJ53" si="4">SUM(AI53:AI64)</f>
        <v>7026</v>
      </c>
    </row>
    <row r="54" spans="2:36" ht="15.6" x14ac:dyDescent="0.3">
      <c r="B54" s="414"/>
      <c r="C54" s="253">
        <v>42917</v>
      </c>
      <c r="D54" s="191">
        <v>17</v>
      </c>
      <c r="E54" s="12">
        <v>18</v>
      </c>
      <c r="F54" s="12">
        <v>22</v>
      </c>
      <c r="G54" s="12">
        <v>22</v>
      </c>
      <c r="H54" s="12">
        <v>22</v>
      </c>
      <c r="I54" s="12">
        <v>22</v>
      </c>
      <c r="J54" s="12">
        <v>22</v>
      </c>
      <c r="K54" s="12">
        <v>17</v>
      </c>
      <c r="L54" s="12">
        <v>18</v>
      </c>
      <c r="M54" s="12">
        <v>22</v>
      </c>
      <c r="N54" s="12">
        <v>22</v>
      </c>
      <c r="O54" s="12">
        <v>22</v>
      </c>
      <c r="P54" s="12">
        <v>22</v>
      </c>
      <c r="Q54" s="12">
        <v>22</v>
      </c>
      <c r="R54" s="12">
        <v>17</v>
      </c>
      <c r="S54" s="12">
        <v>18</v>
      </c>
      <c r="T54" s="12">
        <v>22</v>
      </c>
      <c r="U54" s="12">
        <v>22</v>
      </c>
      <c r="V54" s="12">
        <v>22</v>
      </c>
      <c r="W54" s="12">
        <v>22</v>
      </c>
      <c r="X54" s="12">
        <v>22</v>
      </c>
      <c r="Y54" s="12">
        <v>17</v>
      </c>
      <c r="Z54" s="12">
        <v>18</v>
      </c>
      <c r="AA54" s="12">
        <v>22</v>
      </c>
      <c r="AB54" s="12">
        <v>22</v>
      </c>
      <c r="AC54" s="12">
        <v>22</v>
      </c>
      <c r="AD54" s="12">
        <v>22</v>
      </c>
      <c r="AE54" s="12">
        <v>21</v>
      </c>
      <c r="AF54" s="12">
        <v>17</v>
      </c>
      <c r="AG54" s="12">
        <v>18</v>
      </c>
      <c r="AH54" s="14">
        <v>23</v>
      </c>
      <c r="AI54" s="221">
        <f t="shared" si="0"/>
        <v>637</v>
      </c>
      <c r="AJ54" s="417"/>
    </row>
    <row r="55" spans="2:36" ht="15.6" x14ac:dyDescent="0.3">
      <c r="B55" s="414"/>
      <c r="C55" s="253">
        <v>42948</v>
      </c>
      <c r="D55" s="191">
        <v>22</v>
      </c>
      <c r="E55" s="12">
        <v>22</v>
      </c>
      <c r="F55" s="12">
        <v>22</v>
      </c>
      <c r="G55" s="12">
        <v>22</v>
      </c>
      <c r="H55" s="12">
        <v>17</v>
      </c>
      <c r="I55" s="12">
        <v>18</v>
      </c>
      <c r="J55" s="12">
        <v>22</v>
      </c>
      <c r="K55" s="12">
        <v>22</v>
      </c>
      <c r="L55" s="12">
        <v>22</v>
      </c>
      <c r="M55" s="12">
        <v>22</v>
      </c>
      <c r="N55" s="12">
        <v>22</v>
      </c>
      <c r="O55" s="12">
        <v>17</v>
      </c>
      <c r="P55" s="12">
        <v>18</v>
      </c>
      <c r="Q55" s="12">
        <v>20</v>
      </c>
      <c r="R55" s="12">
        <v>20</v>
      </c>
      <c r="S55" s="12">
        <v>21</v>
      </c>
      <c r="T55" s="12">
        <v>22</v>
      </c>
      <c r="U55" s="12">
        <v>22</v>
      </c>
      <c r="V55" s="12">
        <v>17</v>
      </c>
      <c r="W55" s="12">
        <v>18</v>
      </c>
      <c r="X55" s="12">
        <v>22</v>
      </c>
      <c r="Y55" s="12">
        <v>22</v>
      </c>
      <c r="Z55" s="12">
        <v>22</v>
      </c>
      <c r="AA55" s="12">
        <v>22</v>
      </c>
      <c r="AB55" s="12">
        <v>22</v>
      </c>
      <c r="AC55" s="12">
        <v>17</v>
      </c>
      <c r="AD55" s="12">
        <v>18</v>
      </c>
      <c r="AE55" s="12">
        <v>22</v>
      </c>
      <c r="AF55" s="12">
        <v>22</v>
      </c>
      <c r="AG55" s="12">
        <v>22</v>
      </c>
      <c r="AH55" s="14">
        <v>22</v>
      </c>
      <c r="AI55" s="221">
        <f t="shared" si="0"/>
        <v>641</v>
      </c>
      <c r="AJ55" s="417"/>
    </row>
    <row r="56" spans="2:36" ht="15.6" x14ac:dyDescent="0.3">
      <c r="B56" s="414"/>
      <c r="C56" s="253">
        <v>42979</v>
      </c>
      <c r="D56" s="191">
        <v>22</v>
      </c>
      <c r="E56" s="12">
        <v>17</v>
      </c>
      <c r="F56" s="12">
        <v>18</v>
      </c>
      <c r="G56" s="12">
        <v>22</v>
      </c>
      <c r="H56" s="12">
        <v>22</v>
      </c>
      <c r="I56" s="12">
        <v>22</v>
      </c>
      <c r="J56" s="12">
        <v>22</v>
      </c>
      <c r="K56" s="12">
        <v>22</v>
      </c>
      <c r="L56" s="12">
        <v>17</v>
      </c>
      <c r="M56" s="12">
        <v>18</v>
      </c>
      <c r="N56" s="12">
        <v>22</v>
      </c>
      <c r="O56" s="12">
        <v>22</v>
      </c>
      <c r="P56" s="12">
        <v>22</v>
      </c>
      <c r="Q56" s="12">
        <v>22</v>
      </c>
      <c r="R56" s="12">
        <v>22</v>
      </c>
      <c r="S56" s="12">
        <v>16</v>
      </c>
      <c r="T56" s="12">
        <v>18</v>
      </c>
      <c r="U56" s="12">
        <v>20</v>
      </c>
      <c r="V56" s="12">
        <v>20</v>
      </c>
      <c r="W56" s="12">
        <v>20</v>
      </c>
      <c r="X56" s="12">
        <v>20</v>
      </c>
      <c r="Y56" s="12">
        <v>22</v>
      </c>
      <c r="Z56" s="12">
        <v>16</v>
      </c>
      <c r="AA56" s="12">
        <v>18</v>
      </c>
      <c r="AB56" s="12">
        <v>20</v>
      </c>
      <c r="AC56" s="12">
        <v>20</v>
      </c>
      <c r="AD56" s="12">
        <v>20</v>
      </c>
      <c r="AE56" s="12">
        <v>20</v>
      </c>
      <c r="AF56" s="12">
        <v>22</v>
      </c>
      <c r="AG56" s="12">
        <v>16</v>
      </c>
      <c r="AH56" s="216"/>
      <c r="AI56" s="221">
        <f t="shared" si="0"/>
        <v>600</v>
      </c>
      <c r="AJ56" s="417"/>
    </row>
    <row r="57" spans="2:36" ht="15.6" x14ac:dyDescent="0.3">
      <c r="B57" s="414"/>
      <c r="C57" s="253">
        <v>43009</v>
      </c>
      <c r="D57" s="191">
        <v>18</v>
      </c>
      <c r="E57" s="12">
        <v>20</v>
      </c>
      <c r="F57" s="12">
        <v>20</v>
      </c>
      <c r="G57" s="12">
        <v>20</v>
      </c>
      <c r="H57" s="12">
        <v>20</v>
      </c>
      <c r="I57" s="12">
        <v>22</v>
      </c>
      <c r="J57" s="12">
        <v>16</v>
      </c>
      <c r="K57" s="12">
        <v>18</v>
      </c>
      <c r="L57" s="12">
        <v>20</v>
      </c>
      <c r="M57" s="12">
        <v>20</v>
      </c>
      <c r="N57" s="12">
        <v>22</v>
      </c>
      <c r="O57" s="12">
        <v>18</v>
      </c>
      <c r="P57" s="12">
        <v>18</v>
      </c>
      <c r="Q57" s="12">
        <v>16</v>
      </c>
      <c r="R57" s="12">
        <v>18</v>
      </c>
      <c r="S57" s="12">
        <v>18</v>
      </c>
      <c r="T57" s="12">
        <v>18</v>
      </c>
      <c r="U57" s="12">
        <v>18</v>
      </c>
      <c r="V57" s="12">
        <v>18</v>
      </c>
      <c r="W57" s="12">
        <v>20</v>
      </c>
      <c r="X57" s="12">
        <v>14</v>
      </c>
      <c r="Y57" s="12">
        <v>16</v>
      </c>
      <c r="Z57" s="12">
        <v>18</v>
      </c>
      <c r="AA57" s="12">
        <v>18</v>
      </c>
      <c r="AB57" s="12">
        <v>18</v>
      </c>
      <c r="AC57" s="12">
        <v>18</v>
      </c>
      <c r="AD57" s="12">
        <v>20</v>
      </c>
      <c r="AE57" s="12">
        <v>14</v>
      </c>
      <c r="AF57" s="12">
        <v>16</v>
      </c>
      <c r="AG57" s="12">
        <v>18</v>
      </c>
      <c r="AH57" s="14">
        <v>18</v>
      </c>
      <c r="AI57" s="221">
        <f t="shared" si="0"/>
        <v>566</v>
      </c>
      <c r="AJ57" s="417"/>
    </row>
    <row r="58" spans="2:36" ht="15.6" x14ac:dyDescent="0.3">
      <c r="B58" s="414"/>
      <c r="C58" s="253">
        <v>43040</v>
      </c>
      <c r="D58" s="191">
        <v>16</v>
      </c>
      <c r="E58" s="12">
        <v>18</v>
      </c>
      <c r="F58" s="12">
        <v>20</v>
      </c>
      <c r="G58" s="12">
        <v>15</v>
      </c>
      <c r="H58" s="12">
        <v>16</v>
      </c>
      <c r="I58" s="12">
        <v>18</v>
      </c>
      <c r="J58" s="12">
        <v>18</v>
      </c>
      <c r="K58" s="12">
        <v>20</v>
      </c>
      <c r="L58" s="12">
        <v>16</v>
      </c>
      <c r="M58" s="12">
        <v>16</v>
      </c>
      <c r="N58" s="12">
        <v>15</v>
      </c>
      <c r="O58" s="12">
        <v>16</v>
      </c>
      <c r="P58" s="12">
        <v>18</v>
      </c>
      <c r="Q58" s="12">
        <v>18</v>
      </c>
      <c r="R58" s="12">
        <v>18</v>
      </c>
      <c r="S58" s="12">
        <v>18</v>
      </c>
      <c r="T58" s="12">
        <v>20</v>
      </c>
      <c r="U58" s="12">
        <v>15</v>
      </c>
      <c r="V58" s="12">
        <v>16</v>
      </c>
      <c r="W58" s="12">
        <v>18</v>
      </c>
      <c r="X58" s="12">
        <v>18</v>
      </c>
      <c r="Y58" s="12">
        <v>18</v>
      </c>
      <c r="Z58" s="12">
        <v>18</v>
      </c>
      <c r="AA58" s="12">
        <v>20</v>
      </c>
      <c r="AB58" s="12">
        <v>15</v>
      </c>
      <c r="AC58" s="12">
        <v>16</v>
      </c>
      <c r="AD58" s="12">
        <v>18</v>
      </c>
      <c r="AE58" s="12">
        <v>18</v>
      </c>
      <c r="AF58" s="12">
        <v>18</v>
      </c>
      <c r="AG58" s="12">
        <v>18</v>
      </c>
      <c r="AH58" s="216"/>
      <c r="AI58" s="221">
        <f t="shared" si="0"/>
        <v>522</v>
      </c>
      <c r="AJ58" s="417"/>
    </row>
    <row r="59" spans="2:36" ht="15.6" x14ac:dyDescent="0.3">
      <c r="B59" s="414"/>
      <c r="C59" s="253">
        <v>43070</v>
      </c>
      <c r="D59" s="191">
        <v>20</v>
      </c>
      <c r="E59" s="12">
        <v>15</v>
      </c>
      <c r="F59" s="12">
        <v>16</v>
      </c>
      <c r="G59" s="12">
        <v>18</v>
      </c>
      <c r="H59" s="12">
        <v>20</v>
      </c>
      <c r="I59" s="12">
        <v>16</v>
      </c>
      <c r="J59" s="12">
        <v>14</v>
      </c>
      <c r="K59" s="12">
        <v>14</v>
      </c>
      <c r="L59" s="12">
        <v>15</v>
      </c>
      <c r="M59" s="12">
        <v>16</v>
      </c>
      <c r="N59" s="12">
        <v>18</v>
      </c>
      <c r="O59" s="12">
        <v>20</v>
      </c>
      <c r="P59" s="12">
        <v>20</v>
      </c>
      <c r="Q59" s="12">
        <v>20</v>
      </c>
      <c r="R59" s="12">
        <v>22</v>
      </c>
      <c r="S59" s="12">
        <v>17</v>
      </c>
      <c r="T59" s="12">
        <v>18</v>
      </c>
      <c r="U59" s="12">
        <v>20</v>
      </c>
      <c r="V59" s="12">
        <v>20</v>
      </c>
      <c r="W59" s="12">
        <v>20</v>
      </c>
      <c r="X59" s="12">
        <v>20</v>
      </c>
      <c r="Y59" s="12">
        <v>22</v>
      </c>
      <c r="Z59" s="12">
        <v>17</v>
      </c>
      <c r="AA59" s="12">
        <v>14</v>
      </c>
      <c r="AB59" s="12">
        <v>18</v>
      </c>
      <c r="AC59" s="12">
        <v>18</v>
      </c>
      <c r="AD59" s="12">
        <v>18</v>
      </c>
      <c r="AE59" s="12">
        <v>18</v>
      </c>
      <c r="AF59" s="12">
        <v>20</v>
      </c>
      <c r="AG59" s="12">
        <v>15</v>
      </c>
      <c r="AH59" s="14">
        <v>12</v>
      </c>
      <c r="AI59" s="221">
        <f t="shared" si="0"/>
        <v>551</v>
      </c>
      <c r="AJ59" s="417"/>
    </row>
    <row r="60" spans="2:36" ht="15.6" x14ac:dyDescent="0.3">
      <c r="B60" s="414"/>
      <c r="C60" s="253">
        <v>43101</v>
      </c>
      <c r="D60" s="191">
        <v>18</v>
      </c>
      <c r="E60" s="12">
        <v>18</v>
      </c>
      <c r="F60" s="12">
        <v>18</v>
      </c>
      <c r="G60" s="12">
        <v>18</v>
      </c>
      <c r="H60" s="12">
        <v>20</v>
      </c>
      <c r="I60" s="12">
        <v>15</v>
      </c>
      <c r="J60" s="12">
        <v>16</v>
      </c>
      <c r="K60" s="12">
        <v>18</v>
      </c>
      <c r="L60" s="12">
        <v>18</v>
      </c>
      <c r="M60" s="12">
        <v>18</v>
      </c>
      <c r="N60" s="12">
        <v>18</v>
      </c>
      <c r="O60" s="12">
        <v>20</v>
      </c>
      <c r="P60" s="12">
        <v>15</v>
      </c>
      <c r="Q60" s="12">
        <v>16</v>
      </c>
      <c r="R60" s="12">
        <v>20</v>
      </c>
      <c r="S60" s="12">
        <v>20</v>
      </c>
      <c r="T60" s="12">
        <v>20</v>
      </c>
      <c r="U60" s="12">
        <v>20</v>
      </c>
      <c r="V60" s="12">
        <v>22</v>
      </c>
      <c r="W60" s="12">
        <v>17</v>
      </c>
      <c r="X60" s="12">
        <v>18</v>
      </c>
      <c r="Y60" s="12">
        <v>20</v>
      </c>
      <c r="Z60" s="12">
        <v>20</v>
      </c>
      <c r="AA60" s="12">
        <v>20</v>
      </c>
      <c r="AB60" s="12">
        <v>20</v>
      </c>
      <c r="AC60" s="12">
        <v>22</v>
      </c>
      <c r="AD60" s="12">
        <v>17</v>
      </c>
      <c r="AE60" s="12">
        <v>18</v>
      </c>
      <c r="AF60" s="12">
        <v>20</v>
      </c>
      <c r="AG60" s="12">
        <v>20</v>
      </c>
      <c r="AH60" s="14">
        <v>20</v>
      </c>
      <c r="AI60" s="221">
        <f t="shared" si="0"/>
        <v>580</v>
      </c>
      <c r="AJ60" s="417"/>
    </row>
    <row r="61" spans="2:36" ht="15.6" x14ac:dyDescent="0.3">
      <c r="B61" s="414"/>
      <c r="C61" s="253">
        <v>43132</v>
      </c>
      <c r="D61" s="191">
        <v>20</v>
      </c>
      <c r="E61" s="12">
        <v>22</v>
      </c>
      <c r="F61" s="12">
        <v>17</v>
      </c>
      <c r="G61" s="12">
        <v>18</v>
      </c>
      <c r="H61" s="12">
        <v>20</v>
      </c>
      <c r="I61" s="12">
        <v>20</v>
      </c>
      <c r="J61" s="12">
        <v>20</v>
      </c>
      <c r="K61" s="12">
        <v>20</v>
      </c>
      <c r="L61" s="12">
        <v>22</v>
      </c>
      <c r="M61" s="12">
        <v>17</v>
      </c>
      <c r="N61" s="12">
        <v>18</v>
      </c>
      <c r="O61" s="12">
        <v>20</v>
      </c>
      <c r="P61" s="12">
        <v>20</v>
      </c>
      <c r="Q61" s="12">
        <v>20</v>
      </c>
      <c r="R61" s="12">
        <v>20</v>
      </c>
      <c r="S61" s="12">
        <v>22</v>
      </c>
      <c r="T61" s="12">
        <v>17</v>
      </c>
      <c r="U61" s="12">
        <v>18</v>
      </c>
      <c r="V61" s="12">
        <v>20</v>
      </c>
      <c r="W61" s="12">
        <v>20</v>
      </c>
      <c r="X61" s="12">
        <v>20</v>
      </c>
      <c r="Y61" s="12">
        <v>20</v>
      </c>
      <c r="Z61" s="12">
        <v>22</v>
      </c>
      <c r="AA61" s="12">
        <v>17</v>
      </c>
      <c r="AB61" s="12">
        <v>18</v>
      </c>
      <c r="AC61" s="12">
        <v>20</v>
      </c>
      <c r="AD61" s="12">
        <v>20</v>
      </c>
      <c r="AE61" s="12">
        <v>20</v>
      </c>
      <c r="AF61" s="189"/>
      <c r="AG61" s="189"/>
      <c r="AH61" s="216"/>
      <c r="AI61" s="221">
        <f t="shared" si="0"/>
        <v>548</v>
      </c>
      <c r="AJ61" s="417"/>
    </row>
    <row r="62" spans="2:36" ht="15.6" x14ac:dyDescent="0.3">
      <c r="B62" s="414"/>
      <c r="C62" s="253">
        <v>43160</v>
      </c>
      <c r="D62" s="191">
        <v>20</v>
      </c>
      <c r="E62" s="12">
        <v>22</v>
      </c>
      <c r="F62" s="12">
        <v>17</v>
      </c>
      <c r="G62" s="12">
        <v>17</v>
      </c>
      <c r="H62" s="12">
        <v>20</v>
      </c>
      <c r="I62" s="12">
        <v>20</v>
      </c>
      <c r="J62" s="12">
        <v>22</v>
      </c>
      <c r="K62" s="12">
        <v>17</v>
      </c>
      <c r="L62" s="12">
        <v>22</v>
      </c>
      <c r="M62" s="12">
        <v>17</v>
      </c>
      <c r="N62" s="12">
        <v>18</v>
      </c>
      <c r="O62" s="12">
        <v>20</v>
      </c>
      <c r="P62" s="12">
        <v>20</v>
      </c>
      <c r="Q62" s="12">
        <v>20</v>
      </c>
      <c r="R62" s="12">
        <v>20</v>
      </c>
      <c r="S62" s="12">
        <v>22</v>
      </c>
      <c r="T62" s="12">
        <v>17</v>
      </c>
      <c r="U62" s="12">
        <v>15</v>
      </c>
      <c r="V62" s="12">
        <v>18</v>
      </c>
      <c r="W62" s="12">
        <v>20</v>
      </c>
      <c r="X62" s="12">
        <v>20</v>
      </c>
      <c r="Y62" s="12">
        <v>20</v>
      </c>
      <c r="Z62" s="12">
        <v>22</v>
      </c>
      <c r="AA62" s="12">
        <v>17</v>
      </c>
      <c r="AB62" s="12">
        <v>18</v>
      </c>
      <c r="AC62" s="12">
        <v>20</v>
      </c>
      <c r="AD62" s="12">
        <v>20</v>
      </c>
      <c r="AE62" s="12">
        <v>22</v>
      </c>
      <c r="AF62" s="12">
        <v>18</v>
      </c>
      <c r="AG62" s="12">
        <v>14</v>
      </c>
      <c r="AH62" s="14">
        <v>15</v>
      </c>
      <c r="AI62" s="221">
        <f t="shared" si="0"/>
        <v>590</v>
      </c>
      <c r="AJ62" s="417"/>
    </row>
    <row r="63" spans="2:36" ht="15.6" x14ac:dyDescent="0.3">
      <c r="B63" s="414"/>
      <c r="C63" s="253">
        <v>43191</v>
      </c>
      <c r="D63" s="191">
        <v>18</v>
      </c>
      <c r="E63" s="12">
        <v>20</v>
      </c>
      <c r="F63" s="12">
        <v>20</v>
      </c>
      <c r="G63" s="12">
        <v>20</v>
      </c>
      <c r="H63" s="12">
        <v>20</v>
      </c>
      <c r="I63" s="12">
        <v>22</v>
      </c>
      <c r="J63" s="12">
        <v>17</v>
      </c>
      <c r="K63" s="12">
        <v>18</v>
      </c>
      <c r="L63" s="12">
        <v>20</v>
      </c>
      <c r="M63" s="12">
        <v>20</v>
      </c>
      <c r="N63" s="12">
        <v>20</v>
      </c>
      <c r="O63" s="12">
        <v>20</v>
      </c>
      <c r="P63" s="12">
        <v>22</v>
      </c>
      <c r="Q63" s="12">
        <v>17</v>
      </c>
      <c r="R63" s="12">
        <v>18</v>
      </c>
      <c r="S63" s="12">
        <v>20</v>
      </c>
      <c r="T63" s="12">
        <v>20</v>
      </c>
      <c r="U63" s="12">
        <v>20</v>
      </c>
      <c r="V63" s="12">
        <v>20</v>
      </c>
      <c r="W63" s="12">
        <v>22</v>
      </c>
      <c r="X63" s="12">
        <v>17</v>
      </c>
      <c r="Y63" s="12">
        <v>18</v>
      </c>
      <c r="Z63" s="12">
        <v>20</v>
      </c>
      <c r="AA63" s="12">
        <v>20</v>
      </c>
      <c r="AB63" s="12">
        <v>20</v>
      </c>
      <c r="AC63" s="12">
        <v>20</v>
      </c>
      <c r="AD63" s="12">
        <v>22</v>
      </c>
      <c r="AE63" s="12">
        <v>17</v>
      </c>
      <c r="AF63" s="12">
        <v>18</v>
      </c>
      <c r="AG63" s="12">
        <v>17</v>
      </c>
      <c r="AH63" s="216"/>
      <c r="AI63" s="221">
        <f t="shared" si="0"/>
        <v>583</v>
      </c>
      <c r="AJ63" s="417"/>
    </row>
    <row r="64" spans="2:36" ht="16.2" thickBot="1" x14ac:dyDescent="0.35">
      <c r="B64" s="415"/>
      <c r="C64" s="254">
        <v>43221</v>
      </c>
      <c r="D64" s="192">
        <v>17</v>
      </c>
      <c r="E64" s="18">
        <v>18</v>
      </c>
      <c r="F64" s="18">
        <v>20</v>
      </c>
      <c r="G64" s="18">
        <v>22</v>
      </c>
      <c r="H64" s="18">
        <v>17</v>
      </c>
      <c r="I64" s="18">
        <v>18</v>
      </c>
      <c r="J64" s="18">
        <v>20</v>
      </c>
      <c r="K64" s="18">
        <v>20</v>
      </c>
      <c r="L64" s="18">
        <v>20</v>
      </c>
      <c r="M64" s="18">
        <v>20</v>
      </c>
      <c r="N64" s="18">
        <v>22</v>
      </c>
      <c r="O64" s="18">
        <v>17</v>
      </c>
      <c r="P64" s="18">
        <v>18</v>
      </c>
      <c r="Q64" s="18">
        <v>20</v>
      </c>
      <c r="R64" s="18">
        <v>18</v>
      </c>
      <c r="S64" s="18">
        <v>20</v>
      </c>
      <c r="T64" s="18">
        <v>20</v>
      </c>
      <c r="U64" s="18">
        <v>22</v>
      </c>
      <c r="V64" s="18">
        <v>17</v>
      </c>
      <c r="W64" s="18">
        <v>18</v>
      </c>
      <c r="X64" s="18">
        <v>20</v>
      </c>
      <c r="Y64" s="18">
        <v>20</v>
      </c>
      <c r="Z64" s="18">
        <v>20</v>
      </c>
      <c r="AA64" s="18">
        <v>20</v>
      </c>
      <c r="AB64" s="18">
        <v>22</v>
      </c>
      <c r="AC64" s="18">
        <v>17</v>
      </c>
      <c r="AD64" s="18">
        <v>18</v>
      </c>
      <c r="AE64" s="18">
        <v>20</v>
      </c>
      <c r="AF64" s="18">
        <v>20</v>
      </c>
      <c r="AG64" s="18">
        <v>20</v>
      </c>
      <c r="AH64" s="19">
        <v>20</v>
      </c>
      <c r="AI64" s="222">
        <f t="shared" si="0"/>
        <v>601</v>
      </c>
      <c r="AJ64" s="419"/>
    </row>
    <row r="65" spans="2:36" ht="15.6" x14ac:dyDescent="0.3">
      <c r="B65" s="413">
        <v>6</v>
      </c>
      <c r="C65" s="255">
        <v>43252</v>
      </c>
      <c r="D65" s="190">
        <v>22</v>
      </c>
      <c r="E65" s="15">
        <v>17</v>
      </c>
      <c r="F65" s="15">
        <v>18</v>
      </c>
      <c r="G65" s="15">
        <v>20</v>
      </c>
      <c r="H65" s="15">
        <v>20</v>
      </c>
      <c r="I65" s="15">
        <v>20</v>
      </c>
      <c r="J65" s="15">
        <v>20</v>
      </c>
      <c r="K65" s="15">
        <v>22</v>
      </c>
      <c r="L65" s="15">
        <v>17</v>
      </c>
      <c r="M65" s="15">
        <v>18</v>
      </c>
      <c r="N65" s="15">
        <v>20</v>
      </c>
      <c r="O65" s="16">
        <v>20</v>
      </c>
      <c r="P65" s="16">
        <v>20</v>
      </c>
      <c r="Q65" s="16">
        <v>20</v>
      </c>
      <c r="R65" s="16">
        <v>22</v>
      </c>
      <c r="S65" s="16">
        <v>17</v>
      </c>
      <c r="T65" s="16">
        <v>18</v>
      </c>
      <c r="U65" s="16">
        <v>22</v>
      </c>
      <c r="V65" s="16">
        <v>22</v>
      </c>
      <c r="W65" s="16">
        <v>22</v>
      </c>
      <c r="X65" s="16">
        <v>22</v>
      </c>
      <c r="Y65" s="16">
        <v>22</v>
      </c>
      <c r="Z65" s="16">
        <v>17</v>
      </c>
      <c r="AA65" s="16">
        <v>18</v>
      </c>
      <c r="AB65" s="16">
        <v>22</v>
      </c>
      <c r="AC65" s="16">
        <v>22</v>
      </c>
      <c r="AD65" s="16">
        <v>22</v>
      </c>
      <c r="AE65" s="16">
        <v>22</v>
      </c>
      <c r="AF65" s="16">
        <v>22</v>
      </c>
      <c r="AG65" s="16">
        <v>17</v>
      </c>
      <c r="AH65" s="217"/>
      <c r="AI65" s="220">
        <f t="shared" si="0"/>
        <v>603</v>
      </c>
      <c r="AJ65" s="416">
        <f>SUM(AI65:AI76)</f>
        <v>7364</v>
      </c>
    </row>
    <row r="66" spans="2:36" ht="15.6" x14ac:dyDescent="0.3">
      <c r="B66" s="414"/>
      <c r="C66" s="253">
        <v>43282</v>
      </c>
      <c r="D66" s="191">
        <v>18</v>
      </c>
      <c r="E66" s="12">
        <v>22</v>
      </c>
      <c r="F66" s="12">
        <v>22</v>
      </c>
      <c r="G66" s="12">
        <v>22</v>
      </c>
      <c r="H66" s="12">
        <v>22</v>
      </c>
      <c r="I66" s="12">
        <v>23</v>
      </c>
      <c r="J66" s="12">
        <v>16</v>
      </c>
      <c r="K66" s="12">
        <v>18</v>
      </c>
      <c r="L66" s="12">
        <v>22</v>
      </c>
      <c r="M66" s="12">
        <v>23</v>
      </c>
      <c r="N66" s="12">
        <v>22</v>
      </c>
      <c r="O66" s="12">
        <v>22</v>
      </c>
      <c r="P66" s="12">
        <v>22</v>
      </c>
      <c r="Q66" s="12">
        <v>16</v>
      </c>
      <c r="R66" s="12">
        <v>18</v>
      </c>
      <c r="S66" s="12">
        <v>22</v>
      </c>
      <c r="T66" s="12">
        <v>22</v>
      </c>
      <c r="U66" s="12">
        <v>22</v>
      </c>
      <c r="V66" s="12">
        <v>22</v>
      </c>
      <c r="W66" s="12">
        <v>22</v>
      </c>
      <c r="X66" s="12">
        <v>16</v>
      </c>
      <c r="Y66" s="12">
        <v>18</v>
      </c>
      <c r="Z66" s="12">
        <v>22</v>
      </c>
      <c r="AA66" s="12">
        <v>22</v>
      </c>
      <c r="AB66" s="12">
        <v>22</v>
      </c>
      <c r="AC66" s="12">
        <v>22</v>
      </c>
      <c r="AD66" s="12">
        <v>22</v>
      </c>
      <c r="AE66" s="12">
        <v>16</v>
      </c>
      <c r="AF66" s="12">
        <v>18</v>
      </c>
      <c r="AG66" s="12">
        <v>23</v>
      </c>
      <c r="AH66" s="14">
        <v>22</v>
      </c>
      <c r="AI66" s="221">
        <f t="shared" si="0"/>
        <v>641</v>
      </c>
      <c r="AJ66" s="417"/>
    </row>
    <row r="67" spans="2:36" ht="15.6" x14ac:dyDescent="0.3">
      <c r="B67" s="414"/>
      <c r="C67" s="253">
        <v>43313</v>
      </c>
      <c r="D67" s="191">
        <v>22</v>
      </c>
      <c r="E67" s="12">
        <v>22</v>
      </c>
      <c r="F67" s="12">
        <v>22</v>
      </c>
      <c r="G67" s="12">
        <v>16</v>
      </c>
      <c r="H67" s="12">
        <v>18</v>
      </c>
      <c r="I67" s="12">
        <v>22</v>
      </c>
      <c r="J67" s="12">
        <v>22</v>
      </c>
      <c r="K67" s="12">
        <v>22</v>
      </c>
      <c r="L67" s="12">
        <v>22</v>
      </c>
      <c r="M67" s="12">
        <v>22</v>
      </c>
      <c r="N67" s="12">
        <v>16</v>
      </c>
      <c r="O67" s="12">
        <v>18</v>
      </c>
      <c r="P67" s="12">
        <v>22</v>
      </c>
      <c r="Q67" s="12">
        <v>22</v>
      </c>
      <c r="R67" s="12">
        <v>20</v>
      </c>
      <c r="S67" s="12">
        <v>22</v>
      </c>
      <c r="T67" s="12">
        <v>22</v>
      </c>
      <c r="U67" s="12">
        <v>15</v>
      </c>
      <c r="V67" s="12">
        <v>18</v>
      </c>
      <c r="W67" s="12">
        <v>22</v>
      </c>
      <c r="X67" s="12">
        <v>22</v>
      </c>
      <c r="Y67" s="12">
        <v>22</v>
      </c>
      <c r="Z67" s="12">
        <v>22</v>
      </c>
      <c r="AA67" s="12">
        <v>22</v>
      </c>
      <c r="AB67" s="12">
        <v>16</v>
      </c>
      <c r="AC67" s="12">
        <v>18</v>
      </c>
      <c r="AD67" s="12">
        <v>22</v>
      </c>
      <c r="AE67" s="12">
        <v>22</v>
      </c>
      <c r="AF67" s="12">
        <v>22</v>
      </c>
      <c r="AG67" s="12">
        <v>22</v>
      </c>
      <c r="AH67" s="14">
        <v>22</v>
      </c>
      <c r="AI67" s="221">
        <f t="shared" si="0"/>
        <v>639</v>
      </c>
      <c r="AJ67" s="417"/>
    </row>
    <row r="68" spans="2:36" ht="15.6" x14ac:dyDescent="0.3">
      <c r="B68" s="414"/>
      <c r="C68" s="253">
        <v>43344</v>
      </c>
      <c r="D68" s="191">
        <v>16</v>
      </c>
      <c r="E68" s="12">
        <v>18</v>
      </c>
      <c r="F68" s="12">
        <v>22</v>
      </c>
      <c r="G68" s="12">
        <v>22</v>
      </c>
      <c r="H68" s="12">
        <v>22</v>
      </c>
      <c r="I68" s="12">
        <v>22</v>
      </c>
      <c r="J68" s="12">
        <v>22</v>
      </c>
      <c r="K68" s="12">
        <v>16</v>
      </c>
      <c r="L68" s="12">
        <v>18</v>
      </c>
      <c r="M68" s="12">
        <v>22</v>
      </c>
      <c r="N68" s="12">
        <v>22</v>
      </c>
      <c r="O68" s="12">
        <v>22</v>
      </c>
      <c r="P68" s="12">
        <v>22</v>
      </c>
      <c r="Q68" s="12">
        <v>22</v>
      </c>
      <c r="R68" s="12">
        <v>16</v>
      </c>
      <c r="S68" s="12">
        <v>18</v>
      </c>
      <c r="T68" s="12">
        <v>22</v>
      </c>
      <c r="U68" s="12">
        <v>22</v>
      </c>
      <c r="V68" s="12">
        <v>22</v>
      </c>
      <c r="W68" s="12">
        <v>22</v>
      </c>
      <c r="X68" s="12">
        <v>24</v>
      </c>
      <c r="Y68" s="12">
        <v>15</v>
      </c>
      <c r="Z68" s="12">
        <v>18</v>
      </c>
      <c r="AA68" s="12">
        <v>22</v>
      </c>
      <c r="AB68" s="12">
        <v>22</v>
      </c>
      <c r="AC68" s="12">
        <v>22</v>
      </c>
      <c r="AD68" s="12">
        <v>22</v>
      </c>
      <c r="AE68" s="12">
        <v>24</v>
      </c>
      <c r="AF68" s="12">
        <v>16</v>
      </c>
      <c r="AG68" s="12">
        <v>18</v>
      </c>
      <c r="AH68" s="216"/>
      <c r="AI68" s="221">
        <f t="shared" si="0"/>
        <v>613</v>
      </c>
      <c r="AJ68" s="417"/>
    </row>
    <row r="69" spans="2:36" ht="15.6" x14ac:dyDescent="0.3">
      <c r="B69" s="414"/>
      <c r="C69" s="253">
        <v>43374</v>
      </c>
      <c r="D69" s="191">
        <v>22</v>
      </c>
      <c r="E69" s="12">
        <v>22</v>
      </c>
      <c r="F69" s="12">
        <v>22</v>
      </c>
      <c r="G69" s="12">
        <v>22</v>
      </c>
      <c r="H69" s="12">
        <v>24</v>
      </c>
      <c r="I69" s="12">
        <v>16</v>
      </c>
      <c r="J69" s="12">
        <v>18</v>
      </c>
      <c r="K69" s="12">
        <v>22</v>
      </c>
      <c r="L69" s="12">
        <v>22</v>
      </c>
      <c r="M69" s="12">
        <v>22</v>
      </c>
      <c r="N69" s="12">
        <v>24</v>
      </c>
      <c r="O69" s="12">
        <v>20</v>
      </c>
      <c r="P69" s="12">
        <v>16</v>
      </c>
      <c r="Q69" s="12">
        <v>18</v>
      </c>
      <c r="R69" s="12">
        <v>22</v>
      </c>
      <c r="S69" s="12">
        <v>22</v>
      </c>
      <c r="T69" s="12">
        <v>22</v>
      </c>
      <c r="U69" s="12">
        <v>22</v>
      </c>
      <c r="V69" s="12">
        <v>24</v>
      </c>
      <c r="W69" s="12">
        <v>16</v>
      </c>
      <c r="X69" s="12">
        <v>18</v>
      </c>
      <c r="Y69" s="12">
        <v>22</v>
      </c>
      <c r="Z69" s="12">
        <v>22</v>
      </c>
      <c r="AA69" s="12">
        <v>22</v>
      </c>
      <c r="AB69" s="12">
        <v>22</v>
      </c>
      <c r="AC69" s="12">
        <v>24</v>
      </c>
      <c r="AD69" s="12">
        <v>16</v>
      </c>
      <c r="AE69" s="12">
        <v>18</v>
      </c>
      <c r="AF69" s="12">
        <v>22</v>
      </c>
      <c r="AG69" s="12">
        <v>22</v>
      </c>
      <c r="AH69" s="14">
        <v>21</v>
      </c>
      <c r="AI69" s="221">
        <f t="shared" si="0"/>
        <v>647</v>
      </c>
      <c r="AJ69" s="417"/>
    </row>
    <row r="70" spans="2:36" ht="15.6" x14ac:dyDescent="0.3">
      <c r="B70" s="414"/>
      <c r="C70" s="253">
        <v>43405</v>
      </c>
      <c r="D70" s="191">
        <v>18</v>
      </c>
      <c r="E70" s="12">
        <v>24</v>
      </c>
      <c r="F70" s="12">
        <v>16</v>
      </c>
      <c r="G70" s="12">
        <v>18</v>
      </c>
      <c r="H70" s="12">
        <v>22</v>
      </c>
      <c r="I70" s="12">
        <v>22</v>
      </c>
      <c r="J70" s="12">
        <v>22</v>
      </c>
      <c r="K70" s="12">
        <v>23</v>
      </c>
      <c r="L70" s="12">
        <v>21</v>
      </c>
      <c r="M70" s="12">
        <v>16</v>
      </c>
      <c r="N70" s="12">
        <v>18</v>
      </c>
      <c r="O70" s="12">
        <v>22</v>
      </c>
      <c r="P70" s="12">
        <v>22</v>
      </c>
      <c r="Q70" s="12">
        <v>22</v>
      </c>
      <c r="R70" s="12">
        <v>22</v>
      </c>
      <c r="S70" s="12">
        <v>24</v>
      </c>
      <c r="T70" s="12">
        <v>16</v>
      </c>
      <c r="U70" s="12">
        <v>18</v>
      </c>
      <c r="V70" s="12">
        <v>22</v>
      </c>
      <c r="W70" s="12">
        <v>22</v>
      </c>
      <c r="X70" s="12">
        <v>22</v>
      </c>
      <c r="Y70" s="12">
        <v>22</v>
      </c>
      <c r="Z70" s="12">
        <v>24</v>
      </c>
      <c r="AA70" s="12">
        <v>16</v>
      </c>
      <c r="AB70" s="12">
        <v>18</v>
      </c>
      <c r="AC70" s="12">
        <v>22</v>
      </c>
      <c r="AD70" s="12">
        <v>22</v>
      </c>
      <c r="AE70" s="12">
        <v>22</v>
      </c>
      <c r="AF70" s="12">
        <v>22</v>
      </c>
      <c r="AG70" s="12">
        <v>24</v>
      </c>
      <c r="AH70" s="216"/>
      <c r="AI70" s="221">
        <f t="shared" ref="AI70:AI124" si="5">SUM(D70:AH70)</f>
        <v>624</v>
      </c>
      <c r="AJ70" s="417"/>
    </row>
    <row r="71" spans="2:36" ht="15.6" x14ac:dyDescent="0.3">
      <c r="B71" s="414"/>
      <c r="C71" s="253">
        <v>43435</v>
      </c>
      <c r="D71" s="191">
        <v>16</v>
      </c>
      <c r="E71" s="12">
        <v>18</v>
      </c>
      <c r="F71" s="12">
        <v>22</v>
      </c>
      <c r="G71" s="12">
        <v>22</v>
      </c>
      <c r="H71" s="12">
        <v>24</v>
      </c>
      <c r="I71" s="12">
        <v>18</v>
      </c>
      <c r="J71" s="12">
        <v>22</v>
      </c>
      <c r="K71" s="12">
        <v>16</v>
      </c>
      <c r="L71" s="12">
        <v>18</v>
      </c>
      <c r="M71" s="12">
        <v>22</v>
      </c>
      <c r="N71" s="12">
        <v>22</v>
      </c>
      <c r="O71" s="12">
        <v>22</v>
      </c>
      <c r="P71" s="12">
        <v>22</v>
      </c>
      <c r="Q71" s="12">
        <v>20</v>
      </c>
      <c r="R71" s="12">
        <v>16</v>
      </c>
      <c r="S71" s="12">
        <v>18</v>
      </c>
      <c r="T71" s="12">
        <v>22</v>
      </c>
      <c r="U71" s="12">
        <v>22</v>
      </c>
      <c r="V71" s="12">
        <v>22</v>
      </c>
      <c r="W71" s="12">
        <v>22</v>
      </c>
      <c r="X71" s="12">
        <v>20</v>
      </c>
      <c r="Y71" s="12">
        <v>16</v>
      </c>
      <c r="Z71" s="12">
        <v>18</v>
      </c>
      <c r="AA71" s="12">
        <v>15</v>
      </c>
      <c r="AB71" s="12">
        <v>20</v>
      </c>
      <c r="AC71" s="12">
        <v>18</v>
      </c>
      <c r="AD71" s="12">
        <v>18</v>
      </c>
      <c r="AE71" s="12">
        <v>20</v>
      </c>
      <c r="AF71" s="12">
        <v>14</v>
      </c>
      <c r="AG71" s="12">
        <v>16</v>
      </c>
      <c r="AH71" s="14">
        <v>15</v>
      </c>
      <c r="AI71" s="221">
        <f t="shared" si="5"/>
        <v>596</v>
      </c>
      <c r="AJ71" s="417"/>
    </row>
    <row r="72" spans="2:36" ht="15.6" x14ac:dyDescent="0.3">
      <c r="B72" s="414"/>
      <c r="C72" s="253">
        <v>43466</v>
      </c>
      <c r="D72" s="191">
        <v>20</v>
      </c>
      <c r="E72" s="12">
        <v>18</v>
      </c>
      <c r="F72" s="12">
        <v>18</v>
      </c>
      <c r="G72" s="12">
        <v>20</v>
      </c>
      <c r="H72" s="12">
        <v>14</v>
      </c>
      <c r="I72" s="12">
        <v>11</v>
      </c>
      <c r="J72" s="12">
        <v>19</v>
      </c>
      <c r="K72" s="12">
        <v>22</v>
      </c>
      <c r="L72" s="12">
        <v>22</v>
      </c>
      <c r="M72" s="12">
        <v>22</v>
      </c>
      <c r="N72" s="12">
        <v>24</v>
      </c>
      <c r="O72" s="12">
        <v>16</v>
      </c>
      <c r="P72" s="12">
        <v>18</v>
      </c>
      <c r="Q72" s="12">
        <v>22</v>
      </c>
      <c r="R72" s="12">
        <v>22</v>
      </c>
      <c r="S72" s="12">
        <v>22</v>
      </c>
      <c r="T72" s="12">
        <v>22</v>
      </c>
      <c r="U72" s="12">
        <v>24</v>
      </c>
      <c r="V72" s="12">
        <v>16</v>
      </c>
      <c r="W72" s="12">
        <v>18</v>
      </c>
      <c r="X72" s="12">
        <v>22</v>
      </c>
      <c r="Y72" s="12">
        <v>22</v>
      </c>
      <c r="Z72" s="12">
        <v>22</v>
      </c>
      <c r="AA72" s="12">
        <v>22</v>
      </c>
      <c r="AB72" s="12">
        <v>24</v>
      </c>
      <c r="AC72" s="12">
        <v>16</v>
      </c>
      <c r="AD72" s="12">
        <v>18</v>
      </c>
      <c r="AE72" s="12">
        <v>22</v>
      </c>
      <c r="AF72" s="12">
        <v>22</v>
      </c>
      <c r="AG72" s="12">
        <v>22</v>
      </c>
      <c r="AH72" s="14">
        <v>22</v>
      </c>
      <c r="AI72" s="221">
        <f t="shared" si="5"/>
        <v>624</v>
      </c>
      <c r="AJ72" s="417"/>
    </row>
    <row r="73" spans="2:36" ht="15.6" x14ac:dyDescent="0.3">
      <c r="B73" s="414"/>
      <c r="C73" s="253">
        <v>43497</v>
      </c>
      <c r="D73" s="191">
        <v>24</v>
      </c>
      <c r="E73" s="12">
        <v>16</v>
      </c>
      <c r="F73" s="12">
        <v>18</v>
      </c>
      <c r="G73" s="12">
        <v>22</v>
      </c>
      <c r="H73" s="12">
        <v>22</v>
      </c>
      <c r="I73" s="12">
        <v>22</v>
      </c>
      <c r="J73" s="12">
        <v>22</v>
      </c>
      <c r="K73" s="12">
        <v>24</v>
      </c>
      <c r="L73" s="12">
        <v>16</v>
      </c>
      <c r="M73" s="12">
        <v>18</v>
      </c>
      <c r="N73" s="12">
        <v>22</v>
      </c>
      <c r="O73" s="12">
        <v>22</v>
      </c>
      <c r="P73" s="12">
        <v>22</v>
      </c>
      <c r="Q73" s="12">
        <v>22</v>
      </c>
      <c r="R73" s="12">
        <v>24</v>
      </c>
      <c r="S73" s="12">
        <v>16</v>
      </c>
      <c r="T73" s="12">
        <v>18</v>
      </c>
      <c r="U73" s="12">
        <v>22</v>
      </c>
      <c r="V73" s="12">
        <v>22</v>
      </c>
      <c r="W73" s="12">
        <v>22</v>
      </c>
      <c r="X73" s="12">
        <v>22</v>
      </c>
      <c r="Y73" s="12">
        <v>24</v>
      </c>
      <c r="Z73" s="12">
        <v>16</v>
      </c>
      <c r="AA73" s="12">
        <v>18</v>
      </c>
      <c r="AB73" s="12">
        <v>22</v>
      </c>
      <c r="AC73" s="12">
        <v>22</v>
      </c>
      <c r="AD73" s="12">
        <v>22</v>
      </c>
      <c r="AE73" s="12">
        <v>22</v>
      </c>
      <c r="AF73" s="189"/>
      <c r="AG73" s="189"/>
      <c r="AH73" s="216"/>
      <c r="AI73" s="221">
        <f t="shared" si="5"/>
        <v>584</v>
      </c>
      <c r="AJ73" s="417"/>
    </row>
    <row r="74" spans="2:36" ht="16.2" thickBot="1" x14ac:dyDescent="0.35">
      <c r="B74" s="414"/>
      <c r="C74" s="253">
        <v>43525</v>
      </c>
      <c r="D74" s="191">
        <v>24</v>
      </c>
      <c r="E74" s="12">
        <v>16</v>
      </c>
      <c r="F74" s="12">
        <v>18</v>
      </c>
      <c r="G74" s="12">
        <v>21</v>
      </c>
      <c r="H74" s="12">
        <v>22</v>
      </c>
      <c r="I74" s="12">
        <v>22</v>
      </c>
      <c r="J74" s="12">
        <v>22</v>
      </c>
      <c r="K74" s="12">
        <v>21</v>
      </c>
      <c r="L74" s="12">
        <v>16</v>
      </c>
      <c r="M74" s="12">
        <v>18</v>
      </c>
      <c r="N74" s="12">
        <v>22</v>
      </c>
      <c r="O74" s="12">
        <v>22</v>
      </c>
      <c r="P74" s="12">
        <v>22</v>
      </c>
      <c r="Q74" s="12">
        <v>22</v>
      </c>
      <c r="R74" s="12">
        <v>24</v>
      </c>
      <c r="S74" s="12">
        <v>16</v>
      </c>
      <c r="T74" s="12">
        <v>18</v>
      </c>
      <c r="U74" s="12">
        <v>20</v>
      </c>
      <c r="V74" s="12">
        <v>20</v>
      </c>
      <c r="W74" s="12">
        <v>22</v>
      </c>
      <c r="X74" s="12">
        <v>21</v>
      </c>
      <c r="Y74" s="12">
        <v>22</v>
      </c>
      <c r="Z74" s="12">
        <v>16</v>
      </c>
      <c r="AA74" s="12">
        <v>18</v>
      </c>
      <c r="AB74" s="12">
        <v>20</v>
      </c>
      <c r="AC74" s="12">
        <v>20</v>
      </c>
      <c r="AD74" s="12">
        <v>20</v>
      </c>
      <c r="AE74" s="12">
        <v>20</v>
      </c>
      <c r="AF74" s="12">
        <v>22</v>
      </c>
      <c r="AG74" s="12">
        <v>16</v>
      </c>
      <c r="AH74" s="14">
        <v>18</v>
      </c>
      <c r="AI74" s="221">
        <f t="shared" si="5"/>
        <v>621</v>
      </c>
      <c r="AJ74" s="417"/>
    </row>
    <row r="75" spans="2:36" ht="15.6" x14ac:dyDescent="0.3">
      <c r="B75" s="414"/>
      <c r="C75" s="253">
        <v>43556</v>
      </c>
      <c r="D75" s="191">
        <v>18</v>
      </c>
      <c r="E75" s="12">
        <v>18</v>
      </c>
      <c r="F75" s="12">
        <v>18</v>
      </c>
      <c r="G75" s="12">
        <v>18</v>
      </c>
      <c r="H75" s="12">
        <v>20</v>
      </c>
      <c r="I75" s="12">
        <v>14</v>
      </c>
      <c r="J75" s="12">
        <v>16</v>
      </c>
      <c r="K75" s="12">
        <v>18</v>
      </c>
      <c r="L75" s="12">
        <v>18</v>
      </c>
      <c r="M75" s="12">
        <v>18</v>
      </c>
      <c r="N75" s="12">
        <v>18</v>
      </c>
      <c r="O75" s="12">
        <v>20</v>
      </c>
      <c r="P75" s="12">
        <v>14</v>
      </c>
      <c r="Q75" s="12">
        <v>16</v>
      </c>
      <c r="R75" s="12">
        <v>18</v>
      </c>
      <c r="S75" s="12">
        <v>18</v>
      </c>
      <c r="T75" s="12">
        <v>20</v>
      </c>
      <c r="U75" s="12">
        <v>16</v>
      </c>
      <c r="V75" s="12">
        <v>12</v>
      </c>
      <c r="W75" s="12">
        <v>12</v>
      </c>
      <c r="X75" s="12">
        <v>16</v>
      </c>
      <c r="Y75" s="12">
        <v>16</v>
      </c>
      <c r="Z75" s="12">
        <v>18</v>
      </c>
      <c r="AA75" s="12">
        <v>18</v>
      </c>
      <c r="AB75" s="12">
        <v>18</v>
      </c>
      <c r="AC75" s="12">
        <v>18</v>
      </c>
      <c r="AD75" s="12">
        <v>14</v>
      </c>
      <c r="AE75" s="12">
        <v>16</v>
      </c>
      <c r="AF75" s="12">
        <v>16</v>
      </c>
      <c r="AG75" s="12">
        <v>20</v>
      </c>
      <c r="AH75" s="217"/>
      <c r="AI75" s="221">
        <f t="shared" si="5"/>
        <v>510</v>
      </c>
      <c r="AJ75" s="417"/>
    </row>
    <row r="76" spans="2:36" ht="16.2" thickBot="1" x14ac:dyDescent="0.35">
      <c r="B76" s="415"/>
      <c r="C76" s="254">
        <v>43586</v>
      </c>
      <c r="D76" s="192">
        <v>18</v>
      </c>
      <c r="E76" s="18">
        <v>18</v>
      </c>
      <c r="F76" s="18">
        <v>20</v>
      </c>
      <c r="G76" s="18">
        <v>17</v>
      </c>
      <c r="H76" s="18">
        <v>19</v>
      </c>
      <c r="I76" s="18">
        <v>22</v>
      </c>
      <c r="J76" s="18">
        <v>22</v>
      </c>
      <c r="K76" s="18">
        <v>22</v>
      </c>
      <c r="L76" s="18">
        <v>22</v>
      </c>
      <c r="M76" s="18">
        <v>24</v>
      </c>
      <c r="N76" s="18">
        <v>16</v>
      </c>
      <c r="O76" s="18">
        <v>18</v>
      </c>
      <c r="P76" s="18">
        <v>22</v>
      </c>
      <c r="Q76" s="18">
        <v>22</v>
      </c>
      <c r="R76" s="18">
        <v>18</v>
      </c>
      <c r="S76" s="18">
        <v>22</v>
      </c>
      <c r="T76" s="18">
        <v>24</v>
      </c>
      <c r="U76" s="18">
        <v>16</v>
      </c>
      <c r="V76" s="18">
        <v>18</v>
      </c>
      <c r="W76" s="18">
        <v>24</v>
      </c>
      <c r="X76" s="18">
        <v>24</v>
      </c>
      <c r="Y76" s="18">
        <v>24</v>
      </c>
      <c r="Z76" s="18">
        <v>24</v>
      </c>
      <c r="AA76" s="18">
        <v>26</v>
      </c>
      <c r="AB76" s="18">
        <v>18</v>
      </c>
      <c r="AC76" s="18">
        <v>20</v>
      </c>
      <c r="AD76" s="18">
        <v>24</v>
      </c>
      <c r="AE76" s="18">
        <v>24</v>
      </c>
      <c r="AF76" s="18">
        <v>24</v>
      </c>
      <c r="AG76" s="18">
        <v>24</v>
      </c>
      <c r="AH76" s="19">
        <v>26</v>
      </c>
      <c r="AI76" s="222">
        <f t="shared" si="5"/>
        <v>662</v>
      </c>
      <c r="AJ76" s="419"/>
    </row>
    <row r="77" spans="2:36" ht="15.6" x14ac:dyDescent="0.3">
      <c r="B77" s="413">
        <v>7</v>
      </c>
      <c r="C77" s="255">
        <v>43617</v>
      </c>
      <c r="D77" s="190">
        <v>19</v>
      </c>
      <c r="E77" s="15">
        <v>20</v>
      </c>
      <c r="F77" s="15">
        <v>24</v>
      </c>
      <c r="G77" s="15">
        <v>24</v>
      </c>
      <c r="H77" s="15">
        <v>24</v>
      </c>
      <c r="I77" s="15">
        <v>24</v>
      </c>
      <c r="J77" s="15">
        <v>26</v>
      </c>
      <c r="K77" s="15">
        <v>19</v>
      </c>
      <c r="L77" s="15">
        <v>20</v>
      </c>
      <c r="M77" s="15">
        <v>22</v>
      </c>
      <c r="N77" s="15">
        <v>24</v>
      </c>
      <c r="O77" s="16">
        <v>24</v>
      </c>
      <c r="P77" s="16">
        <v>24</v>
      </c>
      <c r="Q77" s="16">
        <v>26</v>
      </c>
      <c r="R77" s="16">
        <v>19</v>
      </c>
      <c r="S77" s="16">
        <v>20</v>
      </c>
      <c r="T77" s="16">
        <v>26</v>
      </c>
      <c r="U77" s="16">
        <v>26</v>
      </c>
      <c r="V77" s="16">
        <v>26</v>
      </c>
      <c r="W77" s="16">
        <v>26</v>
      </c>
      <c r="X77" s="16">
        <v>26</v>
      </c>
      <c r="Y77" s="16">
        <v>19</v>
      </c>
      <c r="Z77" s="16">
        <v>20</v>
      </c>
      <c r="AA77" s="16">
        <v>24</v>
      </c>
      <c r="AB77" s="16">
        <v>26</v>
      </c>
      <c r="AC77" s="16">
        <v>26</v>
      </c>
      <c r="AD77" s="16">
        <v>26</v>
      </c>
      <c r="AE77" s="16">
        <v>26</v>
      </c>
      <c r="AF77" s="16">
        <v>19</v>
      </c>
      <c r="AG77" s="16">
        <v>20</v>
      </c>
      <c r="AH77" s="217"/>
      <c r="AI77" s="220">
        <f t="shared" si="5"/>
        <v>695</v>
      </c>
      <c r="AJ77" s="416">
        <f>SUM(AI77:AI88)</f>
        <v>7258</v>
      </c>
    </row>
    <row r="78" spans="2:36" ht="15.6" x14ac:dyDescent="0.3">
      <c r="B78" s="414"/>
      <c r="C78" s="253">
        <v>43647</v>
      </c>
      <c r="D78" s="191">
        <v>26</v>
      </c>
      <c r="E78" s="12">
        <v>26</v>
      </c>
      <c r="F78" s="12">
        <v>26</v>
      </c>
      <c r="G78" s="12">
        <v>26</v>
      </c>
      <c r="H78" s="12">
        <v>26</v>
      </c>
      <c r="I78" s="12">
        <v>19</v>
      </c>
      <c r="J78" s="12">
        <v>20</v>
      </c>
      <c r="K78" s="12">
        <v>26</v>
      </c>
      <c r="L78" s="12">
        <v>26</v>
      </c>
      <c r="M78" s="12">
        <v>26</v>
      </c>
      <c r="N78" s="12">
        <v>26</v>
      </c>
      <c r="O78" s="12">
        <v>26</v>
      </c>
      <c r="P78" s="12">
        <v>19</v>
      </c>
      <c r="Q78" s="12">
        <v>20</v>
      </c>
      <c r="R78" s="12">
        <v>24</v>
      </c>
      <c r="S78" s="12">
        <v>26</v>
      </c>
      <c r="T78" s="12">
        <v>26</v>
      </c>
      <c r="U78" s="12">
        <v>26</v>
      </c>
      <c r="V78" s="12">
        <v>26</v>
      </c>
      <c r="W78" s="12">
        <v>19</v>
      </c>
      <c r="X78" s="12">
        <v>20</v>
      </c>
      <c r="Y78" s="12">
        <v>26</v>
      </c>
      <c r="Z78" s="12">
        <v>26</v>
      </c>
      <c r="AA78" s="12">
        <v>26</v>
      </c>
      <c r="AB78" s="12">
        <v>26</v>
      </c>
      <c r="AC78" s="12">
        <v>26</v>
      </c>
      <c r="AD78" s="12">
        <v>19</v>
      </c>
      <c r="AE78" s="12">
        <v>20</v>
      </c>
      <c r="AF78" s="12">
        <v>26</v>
      </c>
      <c r="AG78" s="12">
        <v>26</v>
      </c>
      <c r="AH78" s="14">
        <v>24</v>
      </c>
      <c r="AI78" s="221">
        <f t="shared" si="5"/>
        <v>750</v>
      </c>
      <c r="AJ78" s="417"/>
    </row>
    <row r="79" spans="2:36" ht="15.6" x14ac:dyDescent="0.3">
      <c r="B79" s="414"/>
      <c r="C79" s="253">
        <v>43678</v>
      </c>
      <c r="D79" s="191">
        <v>26</v>
      </c>
      <c r="E79" s="12">
        <v>26</v>
      </c>
      <c r="F79" s="12">
        <v>21</v>
      </c>
      <c r="G79" s="12">
        <v>22</v>
      </c>
      <c r="H79" s="12">
        <v>26</v>
      </c>
      <c r="I79" s="12">
        <v>26</v>
      </c>
      <c r="J79" s="12">
        <v>26</v>
      </c>
      <c r="K79" s="12">
        <v>26</v>
      </c>
      <c r="L79" s="12">
        <v>26</v>
      </c>
      <c r="M79" s="12">
        <v>21</v>
      </c>
      <c r="N79" s="12">
        <v>22</v>
      </c>
      <c r="O79" s="12">
        <v>26</v>
      </c>
      <c r="P79" s="12">
        <v>26</v>
      </c>
      <c r="Q79" s="12">
        <v>24</v>
      </c>
      <c r="R79" s="12">
        <v>24</v>
      </c>
      <c r="S79" s="12">
        <v>26</v>
      </c>
      <c r="T79" s="12">
        <v>21</v>
      </c>
      <c r="U79" s="12">
        <v>22</v>
      </c>
      <c r="V79" s="12">
        <v>25</v>
      </c>
      <c r="W79" s="12">
        <v>26</v>
      </c>
      <c r="X79" s="12">
        <v>26</v>
      </c>
      <c r="Y79" s="12">
        <v>26</v>
      </c>
      <c r="Z79" s="12">
        <v>26</v>
      </c>
      <c r="AA79" s="12">
        <v>21</v>
      </c>
      <c r="AB79" s="12">
        <v>22</v>
      </c>
      <c r="AC79" s="12">
        <v>26</v>
      </c>
      <c r="AD79" s="12">
        <v>26</v>
      </c>
      <c r="AE79" s="12">
        <v>26</v>
      </c>
      <c r="AF79" s="12">
        <v>26</v>
      </c>
      <c r="AG79" s="12">
        <v>24</v>
      </c>
      <c r="AH79" s="14">
        <v>21</v>
      </c>
      <c r="AI79" s="221">
        <f t="shared" si="5"/>
        <v>758</v>
      </c>
      <c r="AJ79" s="417"/>
    </row>
    <row r="80" spans="2:36" ht="15.6" x14ac:dyDescent="0.3">
      <c r="B80" s="414"/>
      <c r="C80" s="253">
        <v>43709</v>
      </c>
      <c r="D80" s="191">
        <v>20</v>
      </c>
      <c r="E80" s="12">
        <v>26</v>
      </c>
      <c r="F80" s="12">
        <v>26</v>
      </c>
      <c r="G80" s="12">
        <v>26</v>
      </c>
      <c r="H80" s="12">
        <v>26</v>
      </c>
      <c r="I80" s="12">
        <v>26</v>
      </c>
      <c r="J80" s="12">
        <v>19</v>
      </c>
      <c r="K80" s="12">
        <v>20</v>
      </c>
      <c r="L80" s="12">
        <v>26</v>
      </c>
      <c r="M80" s="12">
        <v>26</v>
      </c>
      <c r="N80" s="12">
        <v>26</v>
      </c>
      <c r="O80" s="12">
        <v>26</v>
      </c>
      <c r="P80" s="12">
        <v>26</v>
      </c>
      <c r="Q80" s="12">
        <v>19</v>
      </c>
      <c r="R80" s="12">
        <v>20</v>
      </c>
      <c r="S80" s="12">
        <v>24</v>
      </c>
      <c r="T80" s="12">
        <v>22</v>
      </c>
      <c r="U80" s="12">
        <v>24</v>
      </c>
      <c r="V80" s="12">
        <v>24</v>
      </c>
      <c r="W80" s="12">
        <v>25</v>
      </c>
      <c r="X80" s="12">
        <v>18</v>
      </c>
      <c r="Y80" s="12">
        <v>20</v>
      </c>
      <c r="Z80" s="12">
        <v>24</v>
      </c>
      <c r="AA80" s="12">
        <v>24</v>
      </c>
      <c r="AB80" s="12">
        <v>24</v>
      </c>
      <c r="AC80" s="12">
        <v>24</v>
      </c>
      <c r="AD80" s="12">
        <v>26</v>
      </c>
      <c r="AE80" s="12">
        <v>18</v>
      </c>
      <c r="AF80" s="12">
        <v>20</v>
      </c>
      <c r="AG80" s="12">
        <v>24</v>
      </c>
      <c r="AH80" s="216"/>
      <c r="AI80" s="221">
        <f t="shared" si="5"/>
        <v>699</v>
      </c>
      <c r="AJ80" s="417"/>
    </row>
    <row r="81" spans="2:36" ht="15.6" x14ac:dyDescent="0.3">
      <c r="B81" s="414"/>
      <c r="C81" s="253">
        <v>43739</v>
      </c>
      <c r="D81" s="191">
        <v>24</v>
      </c>
      <c r="E81" s="12">
        <v>24</v>
      </c>
      <c r="F81" s="12">
        <v>24</v>
      </c>
      <c r="G81" s="12">
        <v>26</v>
      </c>
      <c r="H81" s="12">
        <v>18</v>
      </c>
      <c r="I81" s="12">
        <v>20</v>
      </c>
      <c r="J81" s="12">
        <v>24</v>
      </c>
      <c r="K81" s="12">
        <v>24</v>
      </c>
      <c r="L81" s="12">
        <v>22</v>
      </c>
      <c r="M81" s="12">
        <v>24</v>
      </c>
      <c r="N81" s="12">
        <v>26</v>
      </c>
      <c r="O81" s="12">
        <v>18</v>
      </c>
      <c r="P81" s="12">
        <v>20</v>
      </c>
      <c r="Q81" s="12">
        <v>24</v>
      </c>
      <c r="R81" s="12">
        <v>24</v>
      </c>
      <c r="S81" s="12">
        <v>24</v>
      </c>
      <c r="T81" s="12">
        <v>24</v>
      </c>
      <c r="U81" s="12">
        <v>26</v>
      </c>
      <c r="V81" s="12">
        <v>18</v>
      </c>
      <c r="W81" s="12">
        <v>20</v>
      </c>
      <c r="X81" s="12">
        <v>24</v>
      </c>
      <c r="Y81" s="12">
        <v>24</v>
      </c>
      <c r="Z81" s="12">
        <v>24</v>
      </c>
      <c r="AA81" s="12">
        <v>24</v>
      </c>
      <c r="AB81" s="12">
        <v>26</v>
      </c>
      <c r="AC81" s="12">
        <v>18</v>
      </c>
      <c r="AD81" s="12">
        <v>20</v>
      </c>
      <c r="AE81" s="12">
        <v>24</v>
      </c>
      <c r="AF81" s="12">
        <v>24</v>
      </c>
      <c r="AG81" s="12">
        <v>24</v>
      </c>
      <c r="AH81" s="14">
        <v>26</v>
      </c>
      <c r="AI81" s="221">
        <f t="shared" si="5"/>
        <v>712</v>
      </c>
      <c r="AJ81" s="417"/>
    </row>
    <row r="82" spans="2:36" ht="15.6" x14ac:dyDescent="0.3">
      <c r="B82" s="414"/>
      <c r="C82" s="253">
        <v>43770</v>
      </c>
      <c r="D82" s="191">
        <v>20</v>
      </c>
      <c r="E82" s="12">
        <v>18</v>
      </c>
      <c r="F82" s="12">
        <v>20</v>
      </c>
      <c r="G82" s="12">
        <v>24</v>
      </c>
      <c r="H82" s="12">
        <v>24</v>
      </c>
      <c r="I82" s="12">
        <v>24</v>
      </c>
      <c r="J82" s="12">
        <v>24</v>
      </c>
      <c r="K82" s="12">
        <v>26</v>
      </c>
      <c r="L82" s="12">
        <v>18</v>
      </c>
      <c r="M82" s="12">
        <v>20</v>
      </c>
      <c r="N82" s="12">
        <v>24</v>
      </c>
      <c r="O82" s="12">
        <v>24</v>
      </c>
      <c r="P82" s="12">
        <v>24</v>
      </c>
      <c r="Q82" s="12">
        <v>24</v>
      </c>
      <c r="R82" s="12">
        <v>26</v>
      </c>
      <c r="S82" s="12">
        <v>18</v>
      </c>
      <c r="T82" s="12">
        <v>20</v>
      </c>
      <c r="U82" s="12">
        <v>24</v>
      </c>
      <c r="V82" s="12">
        <v>24</v>
      </c>
      <c r="W82" s="12">
        <v>24</v>
      </c>
      <c r="X82" s="12">
        <v>24</v>
      </c>
      <c r="Y82" s="12">
        <v>26</v>
      </c>
      <c r="Z82" s="12">
        <v>18</v>
      </c>
      <c r="AA82" s="12">
        <v>20</v>
      </c>
      <c r="AB82" s="12">
        <v>24</v>
      </c>
      <c r="AC82" s="12">
        <v>24</v>
      </c>
      <c r="AD82" s="12">
        <v>24</v>
      </c>
      <c r="AE82" s="12">
        <v>24</v>
      </c>
      <c r="AF82" s="12">
        <v>26</v>
      </c>
      <c r="AG82" s="12">
        <v>18</v>
      </c>
      <c r="AH82" s="216"/>
      <c r="AI82" s="221">
        <f t="shared" si="5"/>
        <v>678</v>
      </c>
      <c r="AJ82" s="417"/>
    </row>
    <row r="83" spans="2:36" ht="15.6" x14ac:dyDescent="0.3">
      <c r="B83" s="414"/>
      <c r="C83" s="253">
        <v>43800</v>
      </c>
      <c r="D83" s="191">
        <v>20</v>
      </c>
      <c r="E83" s="12">
        <v>24</v>
      </c>
      <c r="F83" s="12">
        <v>24</v>
      </c>
      <c r="G83" s="12">
        <v>24</v>
      </c>
      <c r="H83" s="12">
        <v>25</v>
      </c>
      <c r="I83" s="12">
        <v>20</v>
      </c>
      <c r="J83" s="12">
        <v>18</v>
      </c>
      <c r="K83" s="12">
        <v>18</v>
      </c>
      <c r="L83" s="12">
        <v>22</v>
      </c>
      <c r="M83" s="12">
        <v>24</v>
      </c>
      <c r="N83" s="12">
        <v>24</v>
      </c>
      <c r="O83" s="12">
        <v>24</v>
      </c>
      <c r="P83" s="12">
        <v>26</v>
      </c>
      <c r="Q83" s="12">
        <v>18</v>
      </c>
      <c r="R83" s="12">
        <v>20</v>
      </c>
      <c r="S83" s="12">
        <v>24</v>
      </c>
      <c r="T83" s="12">
        <v>24</v>
      </c>
      <c r="U83" s="12">
        <v>24</v>
      </c>
      <c r="V83" s="12">
        <v>24</v>
      </c>
      <c r="W83" s="12">
        <v>23</v>
      </c>
      <c r="X83" s="12">
        <v>18</v>
      </c>
      <c r="Y83" s="12">
        <v>22</v>
      </c>
      <c r="Z83" s="12">
        <v>22</v>
      </c>
      <c r="AA83" s="12">
        <v>19</v>
      </c>
      <c r="AB83" s="12">
        <v>24</v>
      </c>
      <c r="AC83" s="12">
        <v>22</v>
      </c>
      <c r="AD83" s="12">
        <v>24</v>
      </c>
      <c r="AE83" s="12">
        <v>18</v>
      </c>
      <c r="AF83" s="12">
        <v>20</v>
      </c>
      <c r="AG83" s="12">
        <v>22</v>
      </c>
      <c r="AH83" s="14">
        <v>19</v>
      </c>
      <c r="AI83" s="221">
        <f t="shared" si="5"/>
        <v>680</v>
      </c>
      <c r="AJ83" s="417"/>
    </row>
    <row r="84" spans="2:36" ht="15.6" x14ac:dyDescent="0.3">
      <c r="B84" s="414"/>
      <c r="C84" s="253">
        <v>43831</v>
      </c>
      <c r="D84" s="191">
        <v>24</v>
      </c>
      <c r="E84" s="12">
        <v>22</v>
      </c>
      <c r="F84" s="12">
        <v>24</v>
      </c>
      <c r="G84" s="12">
        <v>18</v>
      </c>
      <c r="H84" s="12">
        <v>15</v>
      </c>
      <c r="I84" s="12">
        <v>24</v>
      </c>
      <c r="J84" s="12">
        <v>24</v>
      </c>
      <c r="K84" s="12">
        <v>24</v>
      </c>
      <c r="L84" s="12">
        <v>24</v>
      </c>
      <c r="M84" s="12">
        <v>26</v>
      </c>
      <c r="N84" s="12">
        <v>18</v>
      </c>
      <c r="O84" s="12">
        <v>20</v>
      </c>
      <c r="P84" s="12">
        <v>24</v>
      </c>
      <c r="Q84" s="12">
        <v>24</v>
      </c>
      <c r="R84" s="12">
        <v>24</v>
      </c>
      <c r="S84" s="12">
        <v>24</v>
      </c>
      <c r="T84" s="12">
        <v>26</v>
      </c>
      <c r="U84" s="12">
        <v>18</v>
      </c>
      <c r="V84" s="12">
        <v>20</v>
      </c>
      <c r="W84" s="12">
        <v>24</v>
      </c>
      <c r="X84" s="12">
        <v>24</v>
      </c>
      <c r="Y84" s="12">
        <v>24</v>
      </c>
      <c r="Z84" s="12">
        <v>24</v>
      </c>
      <c r="AA84" s="12">
        <v>26</v>
      </c>
      <c r="AB84" s="12">
        <v>18</v>
      </c>
      <c r="AC84" s="12">
        <v>25</v>
      </c>
      <c r="AD84" s="12">
        <v>29</v>
      </c>
      <c r="AE84" s="12">
        <v>28</v>
      </c>
      <c r="AF84" s="12">
        <v>28</v>
      </c>
      <c r="AG84" s="12">
        <v>24</v>
      </c>
      <c r="AH84" s="14">
        <v>26</v>
      </c>
      <c r="AI84" s="221">
        <f t="shared" si="5"/>
        <v>723</v>
      </c>
      <c r="AJ84" s="417"/>
    </row>
    <row r="85" spans="2:36" ht="16.2" thickBot="1" x14ac:dyDescent="0.35">
      <c r="B85" s="414"/>
      <c r="C85" s="253">
        <v>43862</v>
      </c>
      <c r="D85" s="191">
        <v>18</v>
      </c>
      <c r="E85" s="12">
        <v>20</v>
      </c>
      <c r="F85" s="12">
        <v>24</v>
      </c>
      <c r="G85" s="12">
        <v>24</v>
      </c>
      <c r="H85" s="12">
        <v>24</v>
      </c>
      <c r="I85" s="12">
        <v>24</v>
      </c>
      <c r="J85" s="12">
        <v>26</v>
      </c>
      <c r="K85" s="12">
        <v>18</v>
      </c>
      <c r="L85" s="12">
        <v>20</v>
      </c>
      <c r="M85" s="12">
        <v>24</v>
      </c>
      <c r="N85" s="12">
        <v>24</v>
      </c>
      <c r="O85" s="12">
        <v>24</v>
      </c>
      <c r="P85" s="12">
        <v>24</v>
      </c>
      <c r="Q85" s="12">
        <v>26</v>
      </c>
      <c r="R85" s="12">
        <v>18</v>
      </c>
      <c r="S85" s="12">
        <v>21</v>
      </c>
      <c r="T85" s="12">
        <v>24</v>
      </c>
      <c r="U85" s="34">
        <v>24</v>
      </c>
      <c r="V85" s="12">
        <v>24</v>
      </c>
      <c r="W85" s="12">
        <v>24</v>
      </c>
      <c r="X85" s="12">
        <v>26</v>
      </c>
      <c r="Y85" s="12">
        <v>18</v>
      </c>
      <c r="Z85" s="12">
        <v>20</v>
      </c>
      <c r="AA85" s="12">
        <v>24</v>
      </c>
      <c r="AB85" s="12">
        <v>24</v>
      </c>
      <c r="AC85" s="12">
        <v>24</v>
      </c>
      <c r="AD85" s="12">
        <v>24</v>
      </c>
      <c r="AE85" s="12">
        <v>26</v>
      </c>
      <c r="AF85" s="12">
        <v>18</v>
      </c>
      <c r="AG85" s="189"/>
      <c r="AH85" s="216"/>
      <c r="AI85" s="221">
        <f t="shared" si="5"/>
        <v>659</v>
      </c>
      <c r="AJ85" s="417"/>
    </row>
    <row r="86" spans="2:36" ht="16.2" thickBot="1" x14ac:dyDescent="0.35">
      <c r="B86" s="414"/>
      <c r="C86" s="253">
        <v>43891</v>
      </c>
      <c r="D86" s="191">
        <v>20</v>
      </c>
      <c r="E86" s="12">
        <v>24</v>
      </c>
      <c r="F86" s="12">
        <v>24</v>
      </c>
      <c r="G86" s="12">
        <v>24</v>
      </c>
      <c r="H86" s="12">
        <v>24</v>
      </c>
      <c r="I86" s="12">
        <v>26</v>
      </c>
      <c r="J86" s="12">
        <v>18</v>
      </c>
      <c r="K86" s="12">
        <v>20</v>
      </c>
      <c r="L86" s="12">
        <v>24</v>
      </c>
      <c r="M86" s="12">
        <v>24</v>
      </c>
      <c r="N86" s="12">
        <v>24</v>
      </c>
      <c r="O86" s="12">
        <v>24</v>
      </c>
      <c r="P86" s="12">
        <v>26</v>
      </c>
      <c r="Q86" s="12">
        <v>18</v>
      </c>
      <c r="R86" s="12">
        <v>20</v>
      </c>
      <c r="S86" s="12">
        <v>24</v>
      </c>
      <c r="T86" s="14">
        <v>24</v>
      </c>
      <c r="U86" s="183">
        <v>14</v>
      </c>
      <c r="V86" s="181">
        <v>12</v>
      </c>
      <c r="W86" s="12">
        <v>16</v>
      </c>
      <c r="X86" s="12">
        <v>13</v>
      </c>
      <c r="Y86" s="12">
        <v>15</v>
      </c>
      <c r="Z86" s="12">
        <v>11</v>
      </c>
      <c r="AA86" s="12">
        <v>10</v>
      </c>
      <c r="AB86" s="12">
        <v>10</v>
      </c>
      <c r="AC86" s="12">
        <v>10</v>
      </c>
      <c r="AD86" s="12">
        <v>10</v>
      </c>
      <c r="AE86" s="12">
        <v>8</v>
      </c>
      <c r="AF86" s="12">
        <v>6</v>
      </c>
      <c r="AG86" s="12">
        <v>6</v>
      </c>
      <c r="AH86" s="14">
        <v>6</v>
      </c>
      <c r="AI86" s="221">
        <f t="shared" si="5"/>
        <v>535</v>
      </c>
      <c r="AJ86" s="417"/>
    </row>
    <row r="87" spans="2:36" ht="15.6" x14ac:dyDescent="0.3">
      <c r="B87" s="414"/>
      <c r="C87" s="253">
        <v>43922</v>
      </c>
      <c r="D87" s="191">
        <v>6</v>
      </c>
      <c r="E87" s="12">
        <v>6</v>
      </c>
      <c r="F87" s="12">
        <v>6</v>
      </c>
      <c r="G87" s="12">
        <v>6</v>
      </c>
      <c r="H87" s="12">
        <v>6</v>
      </c>
      <c r="I87" s="12">
        <v>6</v>
      </c>
      <c r="J87" s="12">
        <v>6</v>
      </c>
      <c r="K87" s="12">
        <v>6</v>
      </c>
      <c r="L87" s="12">
        <v>6</v>
      </c>
      <c r="M87" s="12">
        <v>6</v>
      </c>
      <c r="N87" s="12">
        <v>6</v>
      </c>
      <c r="O87" s="12">
        <v>6</v>
      </c>
      <c r="P87" s="12">
        <v>6</v>
      </c>
      <c r="Q87" s="12">
        <v>6</v>
      </c>
      <c r="R87" s="12">
        <v>6</v>
      </c>
      <c r="S87" s="12">
        <v>6</v>
      </c>
      <c r="T87" s="12">
        <v>6</v>
      </c>
      <c r="U87" s="182">
        <v>6</v>
      </c>
      <c r="V87" s="12">
        <v>6</v>
      </c>
      <c r="W87" s="12">
        <v>6</v>
      </c>
      <c r="X87" s="12">
        <v>6</v>
      </c>
      <c r="Y87" s="12">
        <v>6</v>
      </c>
      <c r="Z87" s="12">
        <v>6</v>
      </c>
      <c r="AA87" s="12">
        <v>6</v>
      </c>
      <c r="AB87" s="12">
        <v>6</v>
      </c>
      <c r="AC87" s="12">
        <v>6</v>
      </c>
      <c r="AD87" s="12">
        <v>6</v>
      </c>
      <c r="AE87" s="12">
        <v>6</v>
      </c>
      <c r="AF87" s="12">
        <v>6</v>
      </c>
      <c r="AG87" s="12">
        <v>7</v>
      </c>
      <c r="AH87" s="216"/>
      <c r="AI87" s="221">
        <f t="shared" si="5"/>
        <v>181</v>
      </c>
      <c r="AJ87" s="417"/>
    </row>
    <row r="88" spans="2:36" ht="16.2" thickBot="1" x14ac:dyDescent="0.35">
      <c r="B88" s="415"/>
      <c r="C88" s="254">
        <v>43952</v>
      </c>
      <c r="D88" s="192">
        <v>6</v>
      </c>
      <c r="E88" s="18">
        <v>6</v>
      </c>
      <c r="F88" s="18">
        <v>6</v>
      </c>
      <c r="G88" s="18">
        <v>6</v>
      </c>
      <c r="H88" s="18">
        <v>6</v>
      </c>
      <c r="I88" s="18">
        <v>6</v>
      </c>
      <c r="J88" s="18">
        <v>6</v>
      </c>
      <c r="K88" s="18">
        <v>6</v>
      </c>
      <c r="L88" s="18">
        <v>6</v>
      </c>
      <c r="M88" s="18">
        <v>6</v>
      </c>
      <c r="N88" s="18">
        <v>6</v>
      </c>
      <c r="O88" s="18">
        <v>6</v>
      </c>
      <c r="P88" s="18">
        <v>6</v>
      </c>
      <c r="Q88" s="18">
        <v>6</v>
      </c>
      <c r="R88" s="18">
        <v>6</v>
      </c>
      <c r="S88" s="18">
        <v>6</v>
      </c>
      <c r="T88" s="18">
        <v>7</v>
      </c>
      <c r="U88" s="18">
        <v>6</v>
      </c>
      <c r="V88" s="18">
        <v>6</v>
      </c>
      <c r="W88" s="18">
        <v>6</v>
      </c>
      <c r="X88" s="18">
        <v>7</v>
      </c>
      <c r="Y88" s="18">
        <v>6</v>
      </c>
      <c r="Z88" s="18">
        <v>6</v>
      </c>
      <c r="AA88" s="18">
        <v>6</v>
      </c>
      <c r="AB88" s="18">
        <v>6</v>
      </c>
      <c r="AC88" s="18">
        <v>6</v>
      </c>
      <c r="AD88" s="18">
        <v>6</v>
      </c>
      <c r="AE88" s="18">
        <v>6</v>
      </c>
      <c r="AF88" s="18">
        <v>6</v>
      </c>
      <c r="AG88" s="18">
        <v>6</v>
      </c>
      <c r="AH88" s="19">
        <v>6</v>
      </c>
      <c r="AI88" s="222">
        <f t="shared" si="5"/>
        <v>188</v>
      </c>
      <c r="AJ88" s="419"/>
    </row>
    <row r="89" spans="2:36" ht="15.6" x14ac:dyDescent="0.3">
      <c r="B89" s="413">
        <v>8</v>
      </c>
      <c r="C89" s="255">
        <v>43983</v>
      </c>
      <c r="D89" s="190">
        <v>6</v>
      </c>
      <c r="E89" s="15">
        <v>6</v>
      </c>
      <c r="F89" s="15">
        <v>6</v>
      </c>
      <c r="G89" s="15">
        <v>6</v>
      </c>
      <c r="H89" s="15">
        <v>6</v>
      </c>
      <c r="I89" s="15">
        <v>6</v>
      </c>
      <c r="J89" s="15">
        <v>6</v>
      </c>
      <c r="K89" s="15">
        <v>6</v>
      </c>
      <c r="L89" s="15">
        <v>6</v>
      </c>
      <c r="M89" s="15">
        <v>8</v>
      </c>
      <c r="N89" s="15">
        <v>6</v>
      </c>
      <c r="O89" s="16">
        <v>6</v>
      </c>
      <c r="P89" s="16">
        <v>6</v>
      </c>
      <c r="Q89" s="16">
        <v>6</v>
      </c>
      <c r="R89" s="16">
        <v>6</v>
      </c>
      <c r="S89" s="16">
        <v>6</v>
      </c>
      <c r="T89" s="16">
        <v>6</v>
      </c>
      <c r="U89" s="16">
        <v>6</v>
      </c>
      <c r="V89" s="16">
        <v>6</v>
      </c>
      <c r="W89" s="16">
        <v>6</v>
      </c>
      <c r="X89" s="16">
        <v>6</v>
      </c>
      <c r="Y89" s="16">
        <v>11</v>
      </c>
      <c r="Z89" s="16">
        <v>12</v>
      </c>
      <c r="AA89" s="16">
        <v>12</v>
      </c>
      <c r="AB89" s="16">
        <v>12</v>
      </c>
      <c r="AC89" s="16">
        <v>12</v>
      </c>
      <c r="AD89" s="16">
        <v>10</v>
      </c>
      <c r="AE89" s="16">
        <v>12</v>
      </c>
      <c r="AF89" s="16">
        <v>12</v>
      </c>
      <c r="AG89" s="16">
        <v>12</v>
      </c>
      <c r="AH89" s="217"/>
      <c r="AI89" s="220">
        <f t="shared" si="5"/>
        <v>233</v>
      </c>
      <c r="AJ89" s="416">
        <f>SUM(AI89:AI100)</f>
        <v>6254</v>
      </c>
    </row>
    <row r="90" spans="2:36" ht="15.6" x14ac:dyDescent="0.3">
      <c r="B90" s="414"/>
      <c r="C90" s="253">
        <v>44013</v>
      </c>
      <c r="D90" s="191">
        <v>12</v>
      </c>
      <c r="E90" s="12">
        <v>14</v>
      </c>
      <c r="F90" s="12">
        <v>12</v>
      </c>
      <c r="G90" s="12">
        <v>10</v>
      </c>
      <c r="H90" s="12">
        <v>12</v>
      </c>
      <c r="I90" s="12">
        <v>12</v>
      </c>
      <c r="J90" s="12">
        <v>12</v>
      </c>
      <c r="K90" s="12">
        <v>12</v>
      </c>
      <c r="L90" s="12">
        <v>12</v>
      </c>
      <c r="M90" s="12">
        <v>12</v>
      </c>
      <c r="N90" s="12">
        <v>10</v>
      </c>
      <c r="O90" s="12">
        <v>12</v>
      </c>
      <c r="P90" s="12">
        <v>13</v>
      </c>
      <c r="Q90" s="12">
        <v>14</v>
      </c>
      <c r="R90" s="12">
        <v>16</v>
      </c>
      <c r="S90" s="12">
        <v>16</v>
      </c>
      <c r="T90" s="12">
        <v>16</v>
      </c>
      <c r="U90" s="12">
        <v>14</v>
      </c>
      <c r="V90" s="12">
        <v>16</v>
      </c>
      <c r="W90" s="12">
        <v>16</v>
      </c>
      <c r="X90" s="12">
        <v>16</v>
      </c>
      <c r="Y90" s="12">
        <v>16</v>
      </c>
      <c r="Z90" s="12">
        <v>16</v>
      </c>
      <c r="AA90" s="12">
        <v>16</v>
      </c>
      <c r="AB90" s="12">
        <v>14</v>
      </c>
      <c r="AC90" s="12">
        <v>16</v>
      </c>
      <c r="AD90" s="12">
        <v>16</v>
      </c>
      <c r="AE90" s="12">
        <v>16</v>
      </c>
      <c r="AF90" s="12">
        <v>16</v>
      </c>
      <c r="AG90" s="12">
        <v>16</v>
      </c>
      <c r="AH90" s="14">
        <v>16</v>
      </c>
      <c r="AI90" s="221">
        <f t="shared" si="5"/>
        <v>437</v>
      </c>
      <c r="AJ90" s="417"/>
    </row>
    <row r="91" spans="2:36" ht="15.6" x14ac:dyDescent="0.3">
      <c r="B91" s="414"/>
      <c r="C91" s="253">
        <v>44044</v>
      </c>
      <c r="D91" s="191">
        <v>14</v>
      </c>
      <c r="E91" s="12">
        <v>16</v>
      </c>
      <c r="F91" s="12">
        <v>16</v>
      </c>
      <c r="G91" s="12">
        <v>16</v>
      </c>
      <c r="H91" s="12">
        <v>16</v>
      </c>
      <c r="I91" s="12">
        <v>16</v>
      </c>
      <c r="J91" s="12">
        <v>16</v>
      </c>
      <c r="K91" s="12">
        <v>14</v>
      </c>
      <c r="L91" s="12">
        <v>16</v>
      </c>
      <c r="M91" s="12">
        <v>16</v>
      </c>
      <c r="N91" s="12">
        <v>16</v>
      </c>
      <c r="O91" s="12">
        <v>16</v>
      </c>
      <c r="P91" s="12">
        <v>16</v>
      </c>
      <c r="Q91" s="12">
        <v>16</v>
      </c>
      <c r="R91" s="12">
        <v>14</v>
      </c>
      <c r="S91" s="12">
        <v>16</v>
      </c>
      <c r="T91" s="12">
        <v>16</v>
      </c>
      <c r="U91" s="12">
        <v>16</v>
      </c>
      <c r="V91" s="12">
        <v>16</v>
      </c>
      <c r="W91" s="12">
        <v>16</v>
      </c>
      <c r="X91" s="12">
        <v>16</v>
      </c>
      <c r="Y91" s="12">
        <v>14</v>
      </c>
      <c r="Z91" s="12">
        <v>16</v>
      </c>
      <c r="AA91" s="12">
        <v>16</v>
      </c>
      <c r="AB91" s="12">
        <v>16</v>
      </c>
      <c r="AC91" s="12">
        <v>16</v>
      </c>
      <c r="AD91" s="12">
        <v>16</v>
      </c>
      <c r="AE91" s="12">
        <v>16</v>
      </c>
      <c r="AF91" s="12">
        <v>14</v>
      </c>
      <c r="AG91" s="12">
        <v>16</v>
      </c>
      <c r="AH91" s="14">
        <v>18</v>
      </c>
      <c r="AI91" s="221">
        <f t="shared" si="5"/>
        <v>488</v>
      </c>
      <c r="AJ91" s="417"/>
    </row>
    <row r="92" spans="2:36" ht="15.6" x14ac:dyDescent="0.3">
      <c r="B92" s="414"/>
      <c r="C92" s="253">
        <v>44075</v>
      </c>
      <c r="D92" s="191">
        <v>18</v>
      </c>
      <c r="E92" s="12">
        <v>18</v>
      </c>
      <c r="F92" s="12">
        <v>18</v>
      </c>
      <c r="G92" s="12">
        <v>18</v>
      </c>
      <c r="H92" s="12">
        <v>18</v>
      </c>
      <c r="I92" s="12">
        <v>18</v>
      </c>
      <c r="J92" s="12">
        <v>18</v>
      </c>
      <c r="K92" s="12">
        <v>18</v>
      </c>
      <c r="L92" s="12">
        <v>18</v>
      </c>
      <c r="M92" s="12">
        <v>18</v>
      </c>
      <c r="N92" s="12">
        <v>18</v>
      </c>
      <c r="O92" s="12">
        <v>18</v>
      </c>
      <c r="P92" s="12">
        <v>18</v>
      </c>
      <c r="Q92" s="12">
        <v>18</v>
      </c>
      <c r="R92" s="12">
        <v>18</v>
      </c>
      <c r="S92" s="12">
        <v>18</v>
      </c>
      <c r="T92" s="12">
        <v>18</v>
      </c>
      <c r="U92" s="12">
        <v>18</v>
      </c>
      <c r="V92" s="12">
        <v>18</v>
      </c>
      <c r="W92" s="12">
        <v>18</v>
      </c>
      <c r="X92" s="12">
        <v>18</v>
      </c>
      <c r="Y92" s="12">
        <v>18</v>
      </c>
      <c r="Z92" s="12">
        <v>18</v>
      </c>
      <c r="AA92" s="12">
        <v>18</v>
      </c>
      <c r="AB92" s="12">
        <v>18</v>
      </c>
      <c r="AC92" s="12">
        <v>18</v>
      </c>
      <c r="AD92" s="12">
        <v>18</v>
      </c>
      <c r="AE92" s="12">
        <v>18</v>
      </c>
      <c r="AF92" s="12">
        <v>18</v>
      </c>
      <c r="AG92" s="12">
        <v>18</v>
      </c>
      <c r="AH92" s="216"/>
      <c r="AI92" s="221">
        <f t="shared" si="5"/>
        <v>540</v>
      </c>
      <c r="AJ92" s="417"/>
    </row>
    <row r="93" spans="2:36" ht="15.6" x14ac:dyDescent="0.3">
      <c r="B93" s="414"/>
      <c r="C93" s="253">
        <v>44105</v>
      </c>
      <c r="D93" s="191">
        <v>18</v>
      </c>
      <c r="E93" s="12">
        <v>18</v>
      </c>
      <c r="F93" s="12">
        <v>18</v>
      </c>
      <c r="G93" s="12">
        <v>18</v>
      </c>
      <c r="H93" s="12">
        <v>18</v>
      </c>
      <c r="I93" s="12">
        <v>18</v>
      </c>
      <c r="J93" s="12">
        <v>18</v>
      </c>
      <c r="K93" s="12">
        <v>18</v>
      </c>
      <c r="L93" s="12">
        <v>18</v>
      </c>
      <c r="M93" s="12">
        <v>18</v>
      </c>
      <c r="N93" s="12">
        <v>16</v>
      </c>
      <c r="O93" s="12">
        <v>18</v>
      </c>
      <c r="P93" s="12">
        <v>18</v>
      </c>
      <c r="Q93" s="12">
        <v>18</v>
      </c>
      <c r="R93" s="12">
        <v>18</v>
      </c>
      <c r="S93" s="12">
        <v>18</v>
      </c>
      <c r="T93" s="12">
        <v>18</v>
      </c>
      <c r="U93" s="12">
        <v>18</v>
      </c>
      <c r="V93" s="12">
        <v>18</v>
      </c>
      <c r="W93" s="12">
        <v>18</v>
      </c>
      <c r="X93" s="12">
        <v>18</v>
      </c>
      <c r="Y93" s="12">
        <v>18</v>
      </c>
      <c r="Z93" s="12">
        <v>18</v>
      </c>
      <c r="AA93" s="12">
        <v>18</v>
      </c>
      <c r="AB93" s="12">
        <v>18</v>
      </c>
      <c r="AC93" s="12">
        <v>18</v>
      </c>
      <c r="AD93" s="12">
        <v>18</v>
      </c>
      <c r="AE93" s="12">
        <v>18</v>
      </c>
      <c r="AF93" s="12">
        <v>18</v>
      </c>
      <c r="AG93" s="12">
        <v>18</v>
      </c>
      <c r="AH93" s="14">
        <v>18</v>
      </c>
      <c r="AI93" s="221">
        <f t="shared" si="5"/>
        <v>556</v>
      </c>
      <c r="AJ93" s="417"/>
    </row>
    <row r="94" spans="2:36" ht="15.6" x14ac:dyDescent="0.3">
      <c r="B94" s="414"/>
      <c r="C94" s="253">
        <v>44136</v>
      </c>
      <c r="D94" s="191">
        <v>18</v>
      </c>
      <c r="E94" s="12">
        <v>17</v>
      </c>
      <c r="F94" s="12">
        <v>18</v>
      </c>
      <c r="G94" s="12">
        <v>18</v>
      </c>
      <c r="H94" s="12">
        <v>18</v>
      </c>
      <c r="I94" s="12">
        <v>18</v>
      </c>
      <c r="J94" s="12">
        <v>18</v>
      </c>
      <c r="K94" s="12">
        <v>18</v>
      </c>
      <c r="L94" s="12">
        <v>18</v>
      </c>
      <c r="M94" s="12">
        <v>18</v>
      </c>
      <c r="N94" s="12">
        <v>16</v>
      </c>
      <c r="O94" s="12">
        <v>18</v>
      </c>
      <c r="P94" s="12">
        <v>18</v>
      </c>
      <c r="Q94" s="12">
        <v>18</v>
      </c>
      <c r="R94" s="12">
        <v>18</v>
      </c>
      <c r="S94" s="12">
        <v>18</v>
      </c>
      <c r="T94" s="12">
        <v>18</v>
      </c>
      <c r="U94" s="12">
        <v>18</v>
      </c>
      <c r="V94" s="12">
        <v>18</v>
      </c>
      <c r="W94" s="12">
        <v>18</v>
      </c>
      <c r="X94" s="12">
        <v>18</v>
      </c>
      <c r="Y94" s="12">
        <v>18</v>
      </c>
      <c r="Z94" s="12">
        <v>18</v>
      </c>
      <c r="AA94" s="12">
        <v>18</v>
      </c>
      <c r="AB94" s="12">
        <v>18</v>
      </c>
      <c r="AC94" s="12">
        <v>18</v>
      </c>
      <c r="AD94" s="12">
        <v>18</v>
      </c>
      <c r="AE94" s="12">
        <v>18</v>
      </c>
      <c r="AF94" s="12">
        <v>18</v>
      </c>
      <c r="AG94" s="12">
        <v>18</v>
      </c>
      <c r="AH94" s="216"/>
      <c r="AI94" s="221">
        <f t="shared" si="5"/>
        <v>537</v>
      </c>
      <c r="AJ94" s="417"/>
    </row>
    <row r="95" spans="2:36" ht="16.2" thickBot="1" x14ac:dyDescent="0.35">
      <c r="B95" s="414"/>
      <c r="C95" s="253">
        <v>44166</v>
      </c>
      <c r="D95" s="191">
        <v>18</v>
      </c>
      <c r="E95" s="12">
        <v>18</v>
      </c>
      <c r="F95" s="12">
        <v>18</v>
      </c>
      <c r="G95" s="12">
        <v>18</v>
      </c>
      <c r="H95" s="12">
        <v>18</v>
      </c>
      <c r="I95" s="12">
        <v>17</v>
      </c>
      <c r="J95" s="12">
        <v>17</v>
      </c>
      <c r="K95" s="12">
        <v>18</v>
      </c>
      <c r="L95" s="34">
        <v>18</v>
      </c>
      <c r="M95" s="34">
        <v>18</v>
      </c>
      <c r="N95" s="12">
        <v>18</v>
      </c>
      <c r="O95" s="12">
        <v>18</v>
      </c>
      <c r="P95" s="12">
        <v>18</v>
      </c>
      <c r="Q95" s="12">
        <v>18</v>
      </c>
      <c r="R95" s="12">
        <v>18</v>
      </c>
      <c r="S95" s="12">
        <v>18</v>
      </c>
      <c r="T95" s="12">
        <v>18</v>
      </c>
      <c r="U95" s="12">
        <v>18</v>
      </c>
      <c r="V95" s="12">
        <v>18</v>
      </c>
      <c r="W95" s="12">
        <v>18</v>
      </c>
      <c r="X95" s="12">
        <v>18</v>
      </c>
      <c r="Y95" s="12">
        <v>18</v>
      </c>
      <c r="Z95" s="12">
        <v>18</v>
      </c>
      <c r="AA95" s="12">
        <v>17</v>
      </c>
      <c r="AB95" s="12">
        <v>17</v>
      </c>
      <c r="AC95" s="12">
        <v>18</v>
      </c>
      <c r="AD95" s="12">
        <v>18</v>
      </c>
      <c r="AE95" s="12">
        <v>18</v>
      </c>
      <c r="AF95" s="12">
        <v>18</v>
      </c>
      <c r="AG95" s="12">
        <v>18</v>
      </c>
      <c r="AH95" s="14">
        <v>17</v>
      </c>
      <c r="AI95" s="221">
        <f t="shared" si="5"/>
        <v>553</v>
      </c>
      <c r="AJ95" s="417"/>
    </row>
    <row r="96" spans="2:36" ht="16.2" thickBot="1" x14ac:dyDescent="0.35">
      <c r="B96" s="414"/>
      <c r="C96" s="253">
        <v>44197</v>
      </c>
      <c r="D96" s="191">
        <v>17</v>
      </c>
      <c r="E96" s="12">
        <v>18</v>
      </c>
      <c r="F96" s="12">
        <v>18</v>
      </c>
      <c r="G96" s="12">
        <v>18</v>
      </c>
      <c r="H96" s="12">
        <v>17</v>
      </c>
      <c r="I96" s="12">
        <v>17</v>
      </c>
      <c r="J96" s="12">
        <v>18</v>
      </c>
      <c r="K96" s="14">
        <v>16</v>
      </c>
      <c r="L96" s="187">
        <v>1</v>
      </c>
      <c r="M96" s="188">
        <v>9</v>
      </c>
      <c r="N96" s="181">
        <v>18</v>
      </c>
      <c r="O96" s="12">
        <v>18</v>
      </c>
      <c r="P96" s="12">
        <v>18</v>
      </c>
      <c r="Q96" s="12">
        <v>18</v>
      </c>
      <c r="R96" s="12">
        <v>18</v>
      </c>
      <c r="S96" s="12">
        <v>18</v>
      </c>
      <c r="T96" s="12">
        <v>18</v>
      </c>
      <c r="U96" s="12">
        <v>18</v>
      </c>
      <c r="V96" s="12">
        <v>18</v>
      </c>
      <c r="W96" s="12">
        <v>18</v>
      </c>
      <c r="X96" s="12">
        <v>18</v>
      </c>
      <c r="Y96" s="12">
        <v>18</v>
      </c>
      <c r="Z96" s="12">
        <v>18</v>
      </c>
      <c r="AA96" s="12">
        <v>18</v>
      </c>
      <c r="AB96" s="12">
        <v>18</v>
      </c>
      <c r="AC96" s="12">
        <v>18</v>
      </c>
      <c r="AD96" s="12">
        <v>18</v>
      </c>
      <c r="AE96" s="12">
        <v>18</v>
      </c>
      <c r="AF96" s="12">
        <v>18</v>
      </c>
      <c r="AG96" s="12">
        <v>18</v>
      </c>
      <c r="AH96" s="14">
        <v>18</v>
      </c>
      <c r="AI96" s="221">
        <f t="shared" si="5"/>
        <v>527</v>
      </c>
      <c r="AJ96" s="417"/>
    </row>
    <row r="97" spans="2:36" ht="15.6" x14ac:dyDescent="0.3">
      <c r="B97" s="414"/>
      <c r="C97" s="253">
        <v>44228</v>
      </c>
      <c r="D97" s="191">
        <v>20</v>
      </c>
      <c r="E97" s="12">
        <v>20</v>
      </c>
      <c r="F97" s="12">
        <v>20</v>
      </c>
      <c r="G97" s="12">
        <v>20</v>
      </c>
      <c r="H97" s="12">
        <v>20</v>
      </c>
      <c r="I97" s="12">
        <v>20</v>
      </c>
      <c r="J97" s="12">
        <v>20</v>
      </c>
      <c r="K97" s="12">
        <v>20</v>
      </c>
      <c r="L97" s="182">
        <v>20</v>
      </c>
      <c r="M97" s="182">
        <v>20</v>
      </c>
      <c r="N97" s="12">
        <v>20</v>
      </c>
      <c r="O97" s="12">
        <v>20</v>
      </c>
      <c r="P97" s="12">
        <v>20</v>
      </c>
      <c r="Q97" s="12">
        <v>20</v>
      </c>
      <c r="R97" s="12">
        <v>20</v>
      </c>
      <c r="S97" s="12">
        <v>20</v>
      </c>
      <c r="T97" s="12">
        <v>20</v>
      </c>
      <c r="U97" s="12">
        <v>20</v>
      </c>
      <c r="V97" s="12">
        <v>20</v>
      </c>
      <c r="W97" s="12">
        <v>20</v>
      </c>
      <c r="X97" s="12">
        <v>20</v>
      </c>
      <c r="Y97" s="12">
        <v>20</v>
      </c>
      <c r="Z97" s="12">
        <v>20</v>
      </c>
      <c r="AA97" s="12">
        <v>20</v>
      </c>
      <c r="AB97" s="12">
        <v>20</v>
      </c>
      <c r="AC97" s="12">
        <v>20</v>
      </c>
      <c r="AD97" s="12">
        <v>20</v>
      </c>
      <c r="AE97" s="12">
        <v>20</v>
      </c>
      <c r="AF97" s="189"/>
      <c r="AG97" s="189"/>
      <c r="AH97" s="216"/>
      <c r="AI97" s="221">
        <f t="shared" si="5"/>
        <v>560</v>
      </c>
      <c r="AJ97" s="417"/>
    </row>
    <row r="98" spans="2:36" ht="15.6" x14ac:dyDescent="0.3">
      <c r="B98" s="414"/>
      <c r="C98" s="253">
        <v>44256</v>
      </c>
      <c r="D98" s="191">
        <v>20</v>
      </c>
      <c r="E98" s="12">
        <v>20</v>
      </c>
      <c r="F98" s="12">
        <v>20</v>
      </c>
      <c r="G98" s="12">
        <v>20</v>
      </c>
      <c r="H98" s="12">
        <v>20</v>
      </c>
      <c r="I98" s="12">
        <v>20</v>
      </c>
      <c r="J98" s="12">
        <v>20</v>
      </c>
      <c r="K98" s="12">
        <v>17</v>
      </c>
      <c r="L98" s="12">
        <v>20</v>
      </c>
      <c r="M98" s="12">
        <v>20</v>
      </c>
      <c r="N98" s="12">
        <v>20</v>
      </c>
      <c r="O98" s="12">
        <v>20</v>
      </c>
      <c r="P98" s="12">
        <v>20</v>
      </c>
      <c r="Q98" s="12">
        <v>20</v>
      </c>
      <c r="R98" s="12">
        <v>20</v>
      </c>
      <c r="S98" s="12">
        <v>20</v>
      </c>
      <c r="T98" s="12">
        <v>20</v>
      </c>
      <c r="U98" s="12">
        <v>20</v>
      </c>
      <c r="V98" s="12">
        <v>17</v>
      </c>
      <c r="W98" s="12">
        <v>20</v>
      </c>
      <c r="X98" s="12">
        <v>20</v>
      </c>
      <c r="Y98" s="12">
        <v>20</v>
      </c>
      <c r="Z98" s="12">
        <v>20</v>
      </c>
      <c r="AA98" s="12">
        <v>20</v>
      </c>
      <c r="AB98" s="12">
        <v>20</v>
      </c>
      <c r="AC98" s="12">
        <v>20</v>
      </c>
      <c r="AD98" s="12">
        <v>20</v>
      </c>
      <c r="AE98" s="12">
        <v>20</v>
      </c>
      <c r="AF98" s="12">
        <v>20</v>
      </c>
      <c r="AG98" s="12">
        <v>20</v>
      </c>
      <c r="AH98" s="14">
        <v>20</v>
      </c>
      <c r="AI98" s="221">
        <f t="shared" si="5"/>
        <v>614</v>
      </c>
      <c r="AJ98" s="417"/>
    </row>
    <row r="99" spans="2:36" ht="15.6" x14ac:dyDescent="0.3">
      <c r="B99" s="414"/>
      <c r="C99" s="253">
        <v>44287</v>
      </c>
      <c r="D99" s="191">
        <v>16</v>
      </c>
      <c r="E99" s="12">
        <v>12</v>
      </c>
      <c r="F99" s="12">
        <v>20</v>
      </c>
      <c r="G99" s="12">
        <v>20</v>
      </c>
      <c r="H99" s="12">
        <v>20</v>
      </c>
      <c r="I99" s="12">
        <v>18</v>
      </c>
      <c r="J99" s="12">
        <v>20</v>
      </c>
      <c r="K99" s="12">
        <v>20</v>
      </c>
      <c r="L99" s="12">
        <v>20</v>
      </c>
      <c r="M99" s="12">
        <v>20</v>
      </c>
      <c r="N99" s="12">
        <v>20</v>
      </c>
      <c r="O99" s="12">
        <v>20</v>
      </c>
      <c r="P99" s="12">
        <v>20</v>
      </c>
      <c r="Q99" s="12">
        <v>20</v>
      </c>
      <c r="R99" s="12">
        <v>20</v>
      </c>
      <c r="S99" s="12">
        <v>21</v>
      </c>
      <c r="T99" s="12">
        <v>20</v>
      </c>
      <c r="U99" s="12">
        <v>20</v>
      </c>
      <c r="V99" s="12">
        <v>20</v>
      </c>
      <c r="W99" s="12">
        <v>20</v>
      </c>
      <c r="X99" s="12">
        <v>20</v>
      </c>
      <c r="Y99" s="12">
        <v>20</v>
      </c>
      <c r="Z99" s="12">
        <v>21</v>
      </c>
      <c r="AA99" s="12">
        <v>20</v>
      </c>
      <c r="AB99" s="12">
        <v>20</v>
      </c>
      <c r="AC99" s="12">
        <v>20</v>
      </c>
      <c r="AD99" s="12">
        <v>20</v>
      </c>
      <c r="AE99" s="12">
        <v>20</v>
      </c>
      <c r="AF99" s="12">
        <v>20</v>
      </c>
      <c r="AG99" s="12">
        <v>20</v>
      </c>
      <c r="AH99" s="216"/>
      <c r="AI99" s="221">
        <f t="shared" si="5"/>
        <v>588</v>
      </c>
      <c r="AJ99" s="417"/>
    </row>
    <row r="100" spans="2:36" ht="16.2" thickBot="1" x14ac:dyDescent="0.35">
      <c r="B100" s="415"/>
      <c r="C100" s="254">
        <v>44317</v>
      </c>
      <c r="D100" s="192">
        <v>20</v>
      </c>
      <c r="E100" s="18">
        <v>20</v>
      </c>
      <c r="F100" s="18">
        <v>20</v>
      </c>
      <c r="G100" s="18">
        <v>20</v>
      </c>
      <c r="H100" s="18">
        <v>20</v>
      </c>
      <c r="I100" s="18">
        <v>20</v>
      </c>
      <c r="J100" s="18">
        <v>21</v>
      </c>
      <c r="K100" s="18">
        <v>20</v>
      </c>
      <c r="L100" s="18">
        <v>20</v>
      </c>
      <c r="M100" s="18">
        <v>20</v>
      </c>
      <c r="N100" s="18">
        <v>20</v>
      </c>
      <c r="O100" s="18">
        <v>20</v>
      </c>
      <c r="P100" s="18">
        <v>20</v>
      </c>
      <c r="Q100" s="18">
        <v>20</v>
      </c>
      <c r="R100" s="18">
        <v>20</v>
      </c>
      <c r="S100" s="18">
        <v>20</v>
      </c>
      <c r="T100" s="18">
        <v>20</v>
      </c>
      <c r="U100" s="18">
        <v>20</v>
      </c>
      <c r="V100" s="18">
        <v>20</v>
      </c>
      <c r="W100" s="18">
        <v>20</v>
      </c>
      <c r="X100" s="18">
        <v>20</v>
      </c>
      <c r="Y100" s="18">
        <v>20</v>
      </c>
      <c r="Z100" s="18">
        <v>20</v>
      </c>
      <c r="AA100" s="18">
        <v>20</v>
      </c>
      <c r="AB100" s="18">
        <v>20</v>
      </c>
      <c r="AC100" s="18">
        <v>20</v>
      </c>
      <c r="AD100" s="18">
        <v>20</v>
      </c>
      <c r="AE100" s="18">
        <v>20</v>
      </c>
      <c r="AF100" s="18">
        <v>20</v>
      </c>
      <c r="AG100" s="18">
        <v>20</v>
      </c>
      <c r="AH100" s="19">
        <v>20</v>
      </c>
      <c r="AI100" s="222">
        <f t="shared" si="5"/>
        <v>621</v>
      </c>
      <c r="AJ100" s="419"/>
    </row>
    <row r="101" spans="2:36" ht="15.6" x14ac:dyDescent="0.3">
      <c r="B101" s="413">
        <v>9</v>
      </c>
      <c r="C101" s="255">
        <v>44348</v>
      </c>
      <c r="D101" s="190">
        <v>20</v>
      </c>
      <c r="E101" s="15">
        <v>20</v>
      </c>
      <c r="F101" s="15">
        <v>20</v>
      </c>
      <c r="G101" s="15">
        <v>20</v>
      </c>
      <c r="H101" s="15">
        <v>20</v>
      </c>
      <c r="I101" s="15">
        <v>20</v>
      </c>
      <c r="J101" s="15">
        <v>20</v>
      </c>
      <c r="K101" s="15">
        <v>20</v>
      </c>
      <c r="L101" s="15">
        <v>20</v>
      </c>
      <c r="M101" s="15">
        <v>20</v>
      </c>
      <c r="N101" s="15">
        <v>22</v>
      </c>
      <c r="O101" s="16">
        <v>20</v>
      </c>
      <c r="P101" s="16">
        <v>22</v>
      </c>
      <c r="Q101" s="16">
        <v>22</v>
      </c>
      <c r="R101" s="16">
        <v>22</v>
      </c>
      <c r="S101" s="16">
        <v>22</v>
      </c>
      <c r="T101" s="16">
        <v>22</v>
      </c>
      <c r="U101" s="16">
        <v>22</v>
      </c>
      <c r="V101" s="16">
        <v>20</v>
      </c>
      <c r="W101" s="16">
        <v>22</v>
      </c>
      <c r="X101" s="16">
        <v>22</v>
      </c>
      <c r="Y101" s="16">
        <v>22</v>
      </c>
      <c r="Z101" s="16">
        <v>22</v>
      </c>
      <c r="AA101" s="16">
        <v>20</v>
      </c>
      <c r="AB101" s="16">
        <v>22</v>
      </c>
      <c r="AC101" s="16">
        <v>20</v>
      </c>
      <c r="AD101" s="16">
        <v>22</v>
      </c>
      <c r="AE101" s="16">
        <v>22</v>
      </c>
      <c r="AF101" s="16">
        <v>22</v>
      </c>
      <c r="AG101" s="16">
        <v>22</v>
      </c>
      <c r="AH101" s="217"/>
      <c r="AI101" s="220">
        <f t="shared" si="5"/>
        <v>632</v>
      </c>
      <c r="AJ101" s="416">
        <f>SUM(AI101:AI112)</f>
        <v>8548</v>
      </c>
    </row>
    <row r="102" spans="2:36" ht="15.6" x14ac:dyDescent="0.3">
      <c r="B102" s="414"/>
      <c r="C102" s="253">
        <v>44378</v>
      </c>
      <c r="D102" s="191">
        <v>24</v>
      </c>
      <c r="E102" s="12">
        <v>24</v>
      </c>
      <c r="F102" s="12">
        <v>22</v>
      </c>
      <c r="G102" s="12">
        <v>24</v>
      </c>
      <c r="H102" s="12">
        <v>24</v>
      </c>
      <c r="I102" s="12">
        <v>24</v>
      </c>
      <c r="J102" s="12">
        <v>24</v>
      </c>
      <c r="K102" s="12">
        <v>24</v>
      </c>
      <c r="L102" s="12">
        <v>24</v>
      </c>
      <c r="M102" s="12">
        <v>22</v>
      </c>
      <c r="N102" s="12">
        <v>24</v>
      </c>
      <c r="O102" s="12">
        <v>25</v>
      </c>
      <c r="P102" s="12">
        <v>25</v>
      </c>
      <c r="Q102" s="12">
        <v>25</v>
      </c>
      <c r="R102" s="12">
        <v>25</v>
      </c>
      <c r="S102" s="12">
        <v>25</v>
      </c>
      <c r="T102" s="12">
        <v>22</v>
      </c>
      <c r="U102" s="12">
        <v>24</v>
      </c>
      <c r="V102" s="12">
        <v>24</v>
      </c>
      <c r="W102" s="12">
        <v>24</v>
      </c>
      <c r="X102" s="12">
        <v>24</v>
      </c>
      <c r="Y102" s="12">
        <v>24</v>
      </c>
      <c r="Z102" s="12">
        <v>24</v>
      </c>
      <c r="AA102" s="12">
        <v>22</v>
      </c>
      <c r="AB102" s="12">
        <v>24</v>
      </c>
      <c r="AC102" s="12">
        <v>24</v>
      </c>
      <c r="AD102" s="12">
        <v>24</v>
      </c>
      <c r="AE102" s="12">
        <v>24</v>
      </c>
      <c r="AF102" s="12">
        <v>24</v>
      </c>
      <c r="AG102" s="12">
        <v>24</v>
      </c>
      <c r="AH102" s="14">
        <v>22</v>
      </c>
      <c r="AI102" s="221">
        <f t="shared" si="5"/>
        <v>739</v>
      </c>
      <c r="AJ102" s="417"/>
    </row>
    <row r="103" spans="2:36" ht="15.6" x14ac:dyDescent="0.3">
      <c r="B103" s="414"/>
      <c r="C103" s="253">
        <v>44409</v>
      </c>
      <c r="D103" s="191">
        <v>24</v>
      </c>
      <c r="E103" s="12">
        <v>24</v>
      </c>
      <c r="F103" s="12">
        <v>24</v>
      </c>
      <c r="G103" s="12">
        <v>24</v>
      </c>
      <c r="H103" s="12">
        <v>24</v>
      </c>
      <c r="I103" s="12">
        <v>24</v>
      </c>
      <c r="J103" s="12">
        <v>22</v>
      </c>
      <c r="K103" s="12">
        <v>24</v>
      </c>
      <c r="L103" s="12">
        <v>24</v>
      </c>
      <c r="M103" s="12">
        <v>24</v>
      </c>
      <c r="N103" s="12">
        <v>24</v>
      </c>
      <c r="O103" s="12">
        <v>24</v>
      </c>
      <c r="P103" s="12">
        <v>24</v>
      </c>
      <c r="Q103" s="12">
        <v>22</v>
      </c>
      <c r="R103" s="12">
        <v>24</v>
      </c>
      <c r="S103" s="12">
        <v>24</v>
      </c>
      <c r="T103" s="12">
        <v>24</v>
      </c>
      <c r="U103" s="12">
        <v>24</v>
      </c>
      <c r="V103" s="12">
        <v>24</v>
      </c>
      <c r="W103" s="12">
        <v>24</v>
      </c>
      <c r="X103" s="12">
        <v>22</v>
      </c>
      <c r="Y103" s="12">
        <v>24</v>
      </c>
      <c r="Z103" s="12">
        <v>24</v>
      </c>
      <c r="AA103" s="12">
        <v>24</v>
      </c>
      <c r="AB103" s="12">
        <v>24</v>
      </c>
      <c r="AC103" s="12">
        <v>24</v>
      </c>
      <c r="AD103" s="12">
        <v>24</v>
      </c>
      <c r="AE103" s="12">
        <v>22</v>
      </c>
      <c r="AF103" s="12">
        <v>24</v>
      </c>
      <c r="AG103" s="12">
        <v>24</v>
      </c>
      <c r="AH103" s="14">
        <v>24</v>
      </c>
      <c r="AI103" s="221">
        <f t="shared" si="5"/>
        <v>736</v>
      </c>
      <c r="AJ103" s="417"/>
    </row>
    <row r="104" spans="2:36" ht="15.6" x14ac:dyDescent="0.3">
      <c r="B104" s="414"/>
      <c r="C104" s="253">
        <v>44440</v>
      </c>
      <c r="D104" s="191">
        <v>24</v>
      </c>
      <c r="E104" s="12">
        <v>24</v>
      </c>
      <c r="F104" s="12">
        <v>26</v>
      </c>
      <c r="G104" s="12">
        <v>22</v>
      </c>
      <c r="H104" s="12">
        <v>24</v>
      </c>
      <c r="I104" s="12">
        <v>24</v>
      </c>
      <c r="J104" s="12">
        <v>24</v>
      </c>
      <c r="K104" s="12">
        <v>24</v>
      </c>
      <c r="L104" s="12">
        <v>24</v>
      </c>
      <c r="M104" s="12">
        <v>26</v>
      </c>
      <c r="N104" s="12">
        <v>22</v>
      </c>
      <c r="O104" s="12">
        <v>24</v>
      </c>
      <c r="P104" s="12">
        <v>25</v>
      </c>
      <c r="Q104" s="12">
        <v>24</v>
      </c>
      <c r="R104" s="12">
        <v>24</v>
      </c>
      <c r="S104" s="12">
        <v>24</v>
      </c>
      <c r="T104" s="12">
        <v>26</v>
      </c>
      <c r="U104" s="12">
        <v>22</v>
      </c>
      <c r="V104" s="12">
        <v>23</v>
      </c>
      <c r="W104" s="12">
        <v>25</v>
      </c>
      <c r="X104" s="12">
        <v>24</v>
      </c>
      <c r="Y104" s="12">
        <v>24</v>
      </c>
      <c r="Z104" s="12">
        <v>24</v>
      </c>
      <c r="AA104" s="12">
        <v>26</v>
      </c>
      <c r="AB104" s="12">
        <v>22</v>
      </c>
      <c r="AC104" s="12">
        <v>23</v>
      </c>
      <c r="AD104" s="12">
        <v>25</v>
      </c>
      <c r="AE104" s="12">
        <v>24</v>
      </c>
      <c r="AF104" s="12">
        <v>24</v>
      </c>
      <c r="AG104" s="12">
        <v>19</v>
      </c>
      <c r="AH104" s="216"/>
      <c r="AI104" s="221">
        <f t="shared" si="5"/>
        <v>716</v>
      </c>
      <c r="AJ104" s="417"/>
    </row>
    <row r="105" spans="2:36" ht="15.6" x14ac:dyDescent="0.3">
      <c r="B105" s="414"/>
      <c r="C105" s="253">
        <v>44470</v>
      </c>
      <c r="D105" s="191">
        <v>19</v>
      </c>
      <c r="E105" s="12">
        <v>22</v>
      </c>
      <c r="F105" s="12">
        <v>23</v>
      </c>
      <c r="G105" s="12">
        <v>20</v>
      </c>
      <c r="H105" s="12">
        <v>19</v>
      </c>
      <c r="I105" s="12">
        <v>24</v>
      </c>
      <c r="J105" s="12">
        <v>21</v>
      </c>
      <c r="K105" s="12">
        <v>21</v>
      </c>
      <c r="L105" s="12">
        <v>22</v>
      </c>
      <c r="M105" s="12">
        <v>22</v>
      </c>
      <c r="N105" s="12">
        <v>22</v>
      </c>
      <c r="O105" s="12">
        <v>24</v>
      </c>
      <c r="P105" s="12">
        <v>25</v>
      </c>
      <c r="Q105" s="12">
        <v>24</v>
      </c>
      <c r="R105" s="12">
        <v>26</v>
      </c>
      <c r="S105" s="12">
        <v>22</v>
      </c>
      <c r="T105" s="12">
        <v>23</v>
      </c>
      <c r="U105" s="12">
        <v>25</v>
      </c>
      <c r="V105" s="12">
        <v>24</v>
      </c>
      <c r="W105" s="12">
        <v>24</v>
      </c>
      <c r="X105" s="12">
        <v>24</v>
      </c>
      <c r="Y105" s="12">
        <v>26</v>
      </c>
      <c r="Z105" s="12">
        <v>22</v>
      </c>
      <c r="AA105" s="12">
        <v>23</v>
      </c>
      <c r="AB105" s="12">
        <v>25</v>
      </c>
      <c r="AC105" s="12">
        <v>24</v>
      </c>
      <c r="AD105" s="12">
        <v>24</v>
      </c>
      <c r="AE105" s="12">
        <v>24</v>
      </c>
      <c r="AF105" s="12">
        <v>26</v>
      </c>
      <c r="AG105" s="12">
        <v>22</v>
      </c>
      <c r="AH105" s="14">
        <v>22</v>
      </c>
      <c r="AI105" s="221">
        <f t="shared" si="5"/>
        <v>714</v>
      </c>
      <c r="AJ105" s="417"/>
    </row>
    <row r="106" spans="2:36" ht="15.6" x14ac:dyDescent="0.3">
      <c r="B106" s="414"/>
      <c r="C106" s="253">
        <v>44501</v>
      </c>
      <c r="D106" s="191">
        <v>24</v>
      </c>
      <c r="E106" s="12">
        <v>25</v>
      </c>
      <c r="F106" s="12">
        <v>24</v>
      </c>
      <c r="G106" s="12">
        <v>24</v>
      </c>
      <c r="H106" s="12">
        <v>26</v>
      </c>
      <c r="I106" s="12">
        <v>22</v>
      </c>
      <c r="J106" s="12">
        <v>23</v>
      </c>
      <c r="K106" s="12">
        <v>23</v>
      </c>
      <c r="L106" s="12">
        <v>23</v>
      </c>
      <c r="M106" s="12">
        <v>24</v>
      </c>
      <c r="N106" s="12">
        <v>24</v>
      </c>
      <c r="O106" s="12">
        <v>26</v>
      </c>
      <c r="P106" s="12">
        <v>22</v>
      </c>
      <c r="Q106" s="12">
        <v>23</v>
      </c>
      <c r="R106" s="12">
        <v>25</v>
      </c>
      <c r="S106" s="12">
        <v>24</v>
      </c>
      <c r="T106" s="12">
        <v>24</v>
      </c>
      <c r="U106" s="12">
        <v>24</v>
      </c>
      <c r="V106" s="12">
        <v>26</v>
      </c>
      <c r="W106" s="12">
        <v>22</v>
      </c>
      <c r="X106" s="12">
        <v>23</v>
      </c>
      <c r="Y106" s="12">
        <v>25</v>
      </c>
      <c r="Z106" s="12">
        <v>24</v>
      </c>
      <c r="AA106" s="12">
        <v>24</v>
      </c>
      <c r="AB106" s="12">
        <v>24</v>
      </c>
      <c r="AC106" s="12">
        <v>26</v>
      </c>
      <c r="AD106" s="12">
        <v>22</v>
      </c>
      <c r="AE106" s="12">
        <v>23</v>
      </c>
      <c r="AF106" s="12">
        <v>25</v>
      </c>
      <c r="AG106" s="12">
        <v>24</v>
      </c>
      <c r="AH106" s="216"/>
      <c r="AI106" s="221">
        <f t="shared" si="5"/>
        <v>718</v>
      </c>
      <c r="AJ106" s="417"/>
    </row>
    <row r="107" spans="2:36" ht="15.6" x14ac:dyDescent="0.3">
      <c r="B107" s="414"/>
      <c r="C107" s="253">
        <v>44531</v>
      </c>
      <c r="D107" s="191">
        <v>24</v>
      </c>
      <c r="E107" s="12">
        <v>24</v>
      </c>
      <c r="F107" s="12">
        <v>26</v>
      </c>
      <c r="G107" s="12">
        <v>22</v>
      </c>
      <c r="H107" s="12">
        <v>22</v>
      </c>
      <c r="I107" s="12">
        <v>23</v>
      </c>
      <c r="J107" s="12">
        <v>24</v>
      </c>
      <c r="K107" s="12">
        <v>23</v>
      </c>
      <c r="L107" s="12">
        <v>24</v>
      </c>
      <c r="M107" s="12">
        <v>26</v>
      </c>
      <c r="N107" s="12">
        <v>22</v>
      </c>
      <c r="O107" s="12">
        <v>23</v>
      </c>
      <c r="P107" s="12">
        <v>26</v>
      </c>
      <c r="Q107" s="12">
        <v>25</v>
      </c>
      <c r="R107" s="12">
        <v>25</v>
      </c>
      <c r="S107" s="12">
        <v>25</v>
      </c>
      <c r="T107" s="12">
        <v>27</v>
      </c>
      <c r="U107" s="12">
        <v>19</v>
      </c>
      <c r="V107" s="12">
        <v>22</v>
      </c>
      <c r="W107" s="12">
        <v>25</v>
      </c>
      <c r="X107" s="12">
        <v>25</v>
      </c>
      <c r="Y107" s="12">
        <v>25</v>
      </c>
      <c r="Z107" s="12">
        <v>25</v>
      </c>
      <c r="AA107" s="12">
        <v>23</v>
      </c>
      <c r="AB107" s="12">
        <v>13</v>
      </c>
      <c r="AC107" s="12">
        <v>22</v>
      </c>
      <c r="AD107" s="12">
        <v>25</v>
      </c>
      <c r="AE107" s="12">
        <v>25</v>
      </c>
      <c r="AF107" s="12">
        <v>25</v>
      </c>
      <c r="AG107" s="12">
        <v>25</v>
      </c>
      <c r="AH107" s="14">
        <v>21</v>
      </c>
      <c r="AI107" s="221">
        <f t="shared" si="5"/>
        <v>731</v>
      </c>
      <c r="AJ107" s="417"/>
    </row>
    <row r="108" spans="2:36" ht="15.6" x14ac:dyDescent="0.3">
      <c r="B108" s="414"/>
      <c r="C108" s="253">
        <v>44562</v>
      </c>
      <c r="D108" s="191">
        <v>13</v>
      </c>
      <c r="E108" s="12">
        <v>22</v>
      </c>
      <c r="F108" s="12">
        <v>25</v>
      </c>
      <c r="G108" s="12">
        <v>25</v>
      </c>
      <c r="H108" s="12">
        <v>23</v>
      </c>
      <c r="I108" s="12">
        <v>18</v>
      </c>
      <c r="J108" s="12">
        <v>21</v>
      </c>
      <c r="K108" s="12">
        <v>17</v>
      </c>
      <c r="L108" s="12">
        <v>22</v>
      </c>
      <c r="M108" s="12">
        <v>25</v>
      </c>
      <c r="N108" s="12">
        <v>25</v>
      </c>
      <c r="O108" s="12">
        <v>25</v>
      </c>
      <c r="P108" s="12">
        <v>25</v>
      </c>
      <c r="Q108" s="12">
        <v>27</v>
      </c>
      <c r="R108" s="12">
        <v>19</v>
      </c>
      <c r="S108" s="12">
        <v>22</v>
      </c>
      <c r="T108" s="12">
        <v>25</v>
      </c>
      <c r="U108" s="12">
        <v>25</v>
      </c>
      <c r="V108" s="12">
        <v>25</v>
      </c>
      <c r="W108" s="12">
        <v>25</v>
      </c>
      <c r="X108" s="12">
        <v>27</v>
      </c>
      <c r="Y108" s="12">
        <v>19</v>
      </c>
      <c r="Z108" s="12">
        <v>22</v>
      </c>
      <c r="AA108" s="12">
        <v>25</v>
      </c>
      <c r="AB108" s="12">
        <v>25</v>
      </c>
      <c r="AC108" s="12">
        <v>25</v>
      </c>
      <c r="AD108" s="12">
        <v>25</v>
      </c>
      <c r="AE108" s="12">
        <v>27</v>
      </c>
      <c r="AF108" s="12">
        <v>19</v>
      </c>
      <c r="AG108" s="12">
        <v>22</v>
      </c>
      <c r="AH108" s="14">
        <v>25</v>
      </c>
      <c r="AI108" s="221">
        <f t="shared" si="5"/>
        <v>715</v>
      </c>
      <c r="AJ108" s="417"/>
    </row>
    <row r="109" spans="2:36" ht="15.6" x14ac:dyDescent="0.3">
      <c r="B109" s="414"/>
      <c r="C109" s="253">
        <v>44593</v>
      </c>
      <c r="D109" s="191">
        <v>25</v>
      </c>
      <c r="E109" s="12">
        <v>25</v>
      </c>
      <c r="F109" s="12">
        <v>25</v>
      </c>
      <c r="G109" s="12">
        <v>27</v>
      </c>
      <c r="H109" s="12">
        <v>19</v>
      </c>
      <c r="I109" s="12">
        <v>22</v>
      </c>
      <c r="J109" s="12">
        <v>25</v>
      </c>
      <c r="K109" s="12">
        <v>25</v>
      </c>
      <c r="L109" s="12">
        <v>25</v>
      </c>
      <c r="M109" s="12">
        <v>25</v>
      </c>
      <c r="N109" s="12">
        <v>27</v>
      </c>
      <c r="O109" s="12">
        <v>19</v>
      </c>
      <c r="P109" s="12">
        <v>22</v>
      </c>
      <c r="Q109" s="12">
        <v>25</v>
      </c>
      <c r="R109" s="12">
        <v>25</v>
      </c>
      <c r="S109" s="12">
        <v>25</v>
      </c>
      <c r="T109" s="12">
        <v>25</v>
      </c>
      <c r="U109" s="12">
        <v>27</v>
      </c>
      <c r="V109" s="12">
        <v>19</v>
      </c>
      <c r="W109" s="12">
        <v>22</v>
      </c>
      <c r="X109" s="12">
        <v>25</v>
      </c>
      <c r="Y109" s="12">
        <v>25</v>
      </c>
      <c r="Z109" s="12">
        <v>25</v>
      </c>
      <c r="AA109" s="12">
        <v>25</v>
      </c>
      <c r="AB109" s="12">
        <v>27</v>
      </c>
      <c r="AC109" s="12">
        <v>19</v>
      </c>
      <c r="AD109" s="12">
        <v>22</v>
      </c>
      <c r="AE109" s="12">
        <v>25</v>
      </c>
      <c r="AF109" s="189"/>
      <c r="AG109" s="189"/>
      <c r="AH109" s="216"/>
      <c r="AI109" s="221">
        <f t="shared" si="5"/>
        <v>672</v>
      </c>
      <c r="AJ109" s="417"/>
    </row>
    <row r="110" spans="2:36" ht="15.6" x14ac:dyDescent="0.3">
      <c r="B110" s="414"/>
      <c r="C110" s="253">
        <v>44621</v>
      </c>
      <c r="D110" s="191">
        <v>25</v>
      </c>
      <c r="E110" s="12">
        <v>25</v>
      </c>
      <c r="F110" s="12">
        <v>25</v>
      </c>
      <c r="G110" s="12">
        <v>26</v>
      </c>
      <c r="H110" s="12">
        <v>18</v>
      </c>
      <c r="I110" s="12">
        <v>22</v>
      </c>
      <c r="J110" s="12">
        <v>25</v>
      </c>
      <c r="K110" s="12">
        <v>25</v>
      </c>
      <c r="L110" s="12">
        <v>25</v>
      </c>
      <c r="M110" s="12">
        <v>25</v>
      </c>
      <c r="N110" s="12">
        <v>26</v>
      </c>
      <c r="O110" s="12">
        <v>18</v>
      </c>
      <c r="P110" s="12">
        <v>22</v>
      </c>
      <c r="Q110" s="12">
        <v>25</v>
      </c>
      <c r="R110" s="12">
        <v>25</v>
      </c>
      <c r="S110" s="12">
        <v>25</v>
      </c>
      <c r="T110" s="12">
        <v>25</v>
      </c>
      <c r="U110" s="12">
        <v>26</v>
      </c>
      <c r="V110" s="12">
        <v>18</v>
      </c>
      <c r="W110" s="12">
        <v>22</v>
      </c>
      <c r="X110" s="12">
        <v>25</v>
      </c>
      <c r="Y110" s="12">
        <v>25</v>
      </c>
      <c r="Z110" s="12">
        <v>25</v>
      </c>
      <c r="AA110" s="12">
        <v>25</v>
      </c>
      <c r="AB110" s="12">
        <v>26</v>
      </c>
      <c r="AC110" s="12">
        <v>18</v>
      </c>
      <c r="AD110" s="12">
        <v>22</v>
      </c>
      <c r="AE110" s="12">
        <v>25</v>
      </c>
      <c r="AF110" s="12">
        <v>25</v>
      </c>
      <c r="AG110" s="12">
        <v>25</v>
      </c>
      <c r="AH110" s="14">
        <v>25</v>
      </c>
      <c r="AI110" s="221">
        <f t="shared" si="5"/>
        <v>739</v>
      </c>
      <c r="AJ110" s="417"/>
    </row>
    <row r="111" spans="2:36" ht="15.6" x14ac:dyDescent="0.3">
      <c r="B111" s="414"/>
      <c r="C111" s="253">
        <v>44652</v>
      </c>
      <c r="D111" s="191">
        <v>26</v>
      </c>
      <c r="E111" s="12">
        <v>18</v>
      </c>
      <c r="F111" s="12">
        <v>22</v>
      </c>
      <c r="G111" s="12">
        <v>25</v>
      </c>
      <c r="H111" s="12">
        <v>25</v>
      </c>
      <c r="I111" s="12">
        <v>25</v>
      </c>
      <c r="J111" s="12">
        <v>25</v>
      </c>
      <c r="K111" s="12">
        <v>26</v>
      </c>
      <c r="L111" s="12">
        <v>18</v>
      </c>
      <c r="M111" s="12">
        <v>22</v>
      </c>
      <c r="N111" s="12">
        <v>25</v>
      </c>
      <c r="O111" s="12">
        <v>25</v>
      </c>
      <c r="P111" s="12">
        <v>25</v>
      </c>
      <c r="Q111" s="12">
        <v>25</v>
      </c>
      <c r="R111" s="12">
        <v>21</v>
      </c>
      <c r="S111" s="12">
        <v>18</v>
      </c>
      <c r="T111" s="12">
        <v>22</v>
      </c>
      <c r="U111" s="12">
        <v>25</v>
      </c>
      <c r="V111" s="12">
        <v>25</v>
      </c>
      <c r="W111" s="12">
        <v>25</v>
      </c>
      <c r="X111" s="12">
        <v>25</v>
      </c>
      <c r="Y111" s="12">
        <v>26</v>
      </c>
      <c r="Z111" s="12">
        <v>18</v>
      </c>
      <c r="AA111" s="12">
        <v>22</v>
      </c>
      <c r="AB111" s="12">
        <v>25</v>
      </c>
      <c r="AC111" s="12">
        <v>25</v>
      </c>
      <c r="AD111" s="12">
        <v>25</v>
      </c>
      <c r="AE111" s="12">
        <v>24</v>
      </c>
      <c r="AF111" s="12">
        <v>26</v>
      </c>
      <c r="AG111" s="12">
        <v>18</v>
      </c>
      <c r="AH111" s="216"/>
      <c r="AI111" s="221">
        <f t="shared" si="5"/>
        <v>702</v>
      </c>
      <c r="AJ111" s="417"/>
    </row>
    <row r="112" spans="2:36" ht="16.2" thickBot="1" x14ac:dyDescent="0.35">
      <c r="B112" s="415"/>
      <c r="C112" s="254">
        <v>44682</v>
      </c>
      <c r="D112" s="192">
        <v>22</v>
      </c>
      <c r="E112" s="18">
        <v>23</v>
      </c>
      <c r="F112" s="18">
        <v>25</v>
      </c>
      <c r="G112" s="18">
        <v>25</v>
      </c>
      <c r="H112" s="18">
        <v>25</v>
      </c>
      <c r="I112" s="18">
        <v>26</v>
      </c>
      <c r="J112" s="18">
        <v>18</v>
      </c>
      <c r="K112" s="18">
        <v>22</v>
      </c>
      <c r="L112" s="18">
        <v>25</v>
      </c>
      <c r="M112" s="18">
        <v>25</v>
      </c>
      <c r="N112" s="18">
        <v>25</v>
      </c>
      <c r="O112" s="18">
        <v>25</v>
      </c>
      <c r="P112" s="18">
        <v>26</v>
      </c>
      <c r="Q112" s="18">
        <v>18</v>
      </c>
      <c r="R112" s="18">
        <v>22</v>
      </c>
      <c r="S112" s="18">
        <v>24</v>
      </c>
      <c r="T112" s="18">
        <v>25</v>
      </c>
      <c r="U112" s="18">
        <v>25</v>
      </c>
      <c r="V112" s="18">
        <v>25</v>
      </c>
      <c r="W112" s="18">
        <v>26</v>
      </c>
      <c r="X112" s="18">
        <v>18</v>
      </c>
      <c r="Y112" s="18">
        <v>22</v>
      </c>
      <c r="Z112" s="18">
        <v>25</v>
      </c>
      <c r="AA112" s="18">
        <v>25</v>
      </c>
      <c r="AB112" s="18">
        <v>25</v>
      </c>
      <c r="AC112" s="18">
        <v>25</v>
      </c>
      <c r="AD112" s="18">
        <v>26</v>
      </c>
      <c r="AE112" s="18">
        <v>19</v>
      </c>
      <c r="AF112" s="18">
        <v>22</v>
      </c>
      <c r="AG112" s="18">
        <v>25</v>
      </c>
      <c r="AH112" s="19">
        <v>25</v>
      </c>
      <c r="AI112" s="222">
        <f t="shared" si="5"/>
        <v>734</v>
      </c>
      <c r="AJ112" s="419"/>
    </row>
    <row r="113" spans="2:36" ht="15.6" x14ac:dyDescent="0.3">
      <c r="B113" s="413">
        <v>10</v>
      </c>
      <c r="C113" s="255">
        <v>44713</v>
      </c>
      <c r="D113" s="190">
        <v>19</v>
      </c>
      <c r="E113" s="15">
        <v>19</v>
      </c>
      <c r="F113" s="15">
        <v>20</v>
      </c>
      <c r="G113" s="15">
        <v>15</v>
      </c>
      <c r="H113" s="15">
        <v>18</v>
      </c>
      <c r="I113" s="15">
        <v>19</v>
      </c>
      <c r="J113" s="15">
        <v>19</v>
      </c>
      <c r="K113" s="15">
        <v>19</v>
      </c>
      <c r="L113" s="15">
        <v>19</v>
      </c>
      <c r="M113" s="15">
        <v>20</v>
      </c>
      <c r="N113" s="15">
        <v>14</v>
      </c>
      <c r="O113" s="16">
        <v>18</v>
      </c>
      <c r="P113" s="16">
        <v>19</v>
      </c>
      <c r="Q113" s="16">
        <v>19</v>
      </c>
      <c r="R113" s="16">
        <v>18</v>
      </c>
      <c r="S113" s="16">
        <v>19</v>
      </c>
      <c r="T113" s="16">
        <v>19</v>
      </c>
      <c r="U113" s="16">
        <v>14</v>
      </c>
      <c r="V113" s="16">
        <v>18</v>
      </c>
      <c r="W113" s="16">
        <v>19</v>
      </c>
      <c r="X113" s="16">
        <v>19</v>
      </c>
      <c r="Y113" s="16">
        <v>19</v>
      </c>
      <c r="Z113" s="16">
        <v>19</v>
      </c>
      <c r="AA113" s="16">
        <v>20</v>
      </c>
      <c r="AB113" s="16">
        <v>13</v>
      </c>
      <c r="AC113" s="16">
        <v>18</v>
      </c>
      <c r="AD113" s="16">
        <v>19</v>
      </c>
      <c r="AE113" s="16">
        <v>19</v>
      </c>
      <c r="AF113" s="16">
        <v>19</v>
      </c>
      <c r="AG113" s="16">
        <v>19</v>
      </c>
      <c r="AH113" s="217"/>
      <c r="AI113" s="220">
        <f t="shared" si="5"/>
        <v>548</v>
      </c>
      <c r="AJ113" s="416">
        <f>SUM(AI113:AI124)</f>
        <v>11910</v>
      </c>
    </row>
    <row r="114" spans="2:36" ht="15.6" x14ac:dyDescent="0.3">
      <c r="B114" s="414"/>
      <c r="C114" s="253">
        <v>44743</v>
      </c>
      <c r="D114" s="191">
        <v>22</v>
      </c>
      <c r="E114" s="12">
        <v>17</v>
      </c>
      <c r="F114" s="12">
        <v>21</v>
      </c>
      <c r="G114" s="12">
        <v>19</v>
      </c>
      <c r="H114" s="12">
        <v>21</v>
      </c>
      <c r="I114" s="12">
        <v>21</v>
      </c>
      <c r="J114" s="12">
        <v>21</v>
      </c>
      <c r="K114" s="12">
        <v>22</v>
      </c>
      <c r="L114" s="12">
        <v>17</v>
      </c>
      <c r="M114" s="12">
        <v>21</v>
      </c>
      <c r="N114" s="12">
        <v>21</v>
      </c>
      <c r="O114" s="12">
        <v>21</v>
      </c>
      <c r="P114" s="12">
        <v>21</v>
      </c>
      <c r="Q114" s="12">
        <v>21</v>
      </c>
      <c r="R114" s="12">
        <v>22</v>
      </c>
      <c r="S114" s="12">
        <v>17</v>
      </c>
      <c r="T114" s="12">
        <v>21</v>
      </c>
      <c r="U114" s="12">
        <v>21</v>
      </c>
      <c r="V114" s="12">
        <v>21</v>
      </c>
      <c r="W114" s="12">
        <v>23</v>
      </c>
      <c r="X114" s="12">
        <v>23</v>
      </c>
      <c r="Y114" s="12">
        <v>24</v>
      </c>
      <c r="Z114" s="12">
        <v>18</v>
      </c>
      <c r="AA114" s="12">
        <v>21</v>
      </c>
      <c r="AB114" s="12">
        <v>22</v>
      </c>
      <c r="AC114" s="12">
        <v>23</v>
      </c>
      <c r="AD114" s="12">
        <v>23</v>
      </c>
      <c r="AE114" s="12">
        <v>23</v>
      </c>
      <c r="AF114" s="12">
        <v>24</v>
      </c>
      <c r="AG114" s="12">
        <v>18</v>
      </c>
      <c r="AH114" s="14">
        <v>22</v>
      </c>
      <c r="AI114" s="221">
        <f t="shared" si="5"/>
        <v>652</v>
      </c>
      <c r="AJ114" s="417"/>
    </row>
    <row r="115" spans="2:36" ht="15.6" x14ac:dyDescent="0.3">
      <c r="B115" s="414"/>
      <c r="C115" s="253">
        <v>44774</v>
      </c>
      <c r="D115" s="191">
        <v>23</v>
      </c>
      <c r="E115" s="12">
        <v>23</v>
      </c>
      <c r="F115" s="12">
        <v>22</v>
      </c>
      <c r="G115" s="12">
        <v>21</v>
      </c>
      <c r="H115" s="12">
        <v>22</v>
      </c>
      <c r="I115" s="12">
        <v>17</v>
      </c>
      <c r="J115" s="12">
        <v>21</v>
      </c>
      <c r="K115" s="12">
        <v>21</v>
      </c>
      <c r="L115" s="12">
        <v>21</v>
      </c>
      <c r="M115" s="12">
        <v>21</v>
      </c>
      <c r="N115" s="12">
        <v>21</v>
      </c>
      <c r="O115" s="12">
        <v>22</v>
      </c>
      <c r="P115" s="12">
        <v>17</v>
      </c>
      <c r="Q115" s="12">
        <v>20</v>
      </c>
      <c r="R115" s="12">
        <v>20</v>
      </c>
      <c r="S115" s="12">
        <v>21</v>
      </c>
      <c r="T115" s="12">
        <v>21</v>
      </c>
      <c r="U115" s="12">
        <v>21</v>
      </c>
      <c r="V115" s="12">
        <v>22</v>
      </c>
      <c r="W115" s="12">
        <v>17</v>
      </c>
      <c r="X115" s="12">
        <v>21</v>
      </c>
      <c r="Y115" s="12">
        <v>21</v>
      </c>
      <c r="Z115" s="12">
        <v>21</v>
      </c>
      <c r="AA115" s="12">
        <v>21</v>
      </c>
      <c r="AB115" s="12">
        <v>21</v>
      </c>
      <c r="AC115" s="12">
        <v>22</v>
      </c>
      <c r="AD115" s="12">
        <v>17</v>
      </c>
      <c r="AE115" s="12">
        <v>21</v>
      </c>
      <c r="AF115" s="12">
        <v>21</v>
      </c>
      <c r="AG115" s="12">
        <v>21</v>
      </c>
      <c r="AH115" s="14">
        <v>21</v>
      </c>
      <c r="AI115" s="221">
        <f t="shared" si="5"/>
        <v>642</v>
      </c>
      <c r="AJ115" s="417"/>
    </row>
    <row r="116" spans="2:36" ht="15.6" x14ac:dyDescent="0.3">
      <c r="B116" s="414"/>
      <c r="C116" s="253">
        <v>44805</v>
      </c>
      <c r="D116" s="191">
        <v>27</v>
      </c>
      <c r="E116" s="12">
        <v>28</v>
      </c>
      <c r="F116" s="12">
        <v>22</v>
      </c>
      <c r="G116" s="12">
        <v>25</v>
      </c>
      <c r="H116" s="12">
        <v>27</v>
      </c>
      <c r="I116" s="12">
        <v>27</v>
      </c>
      <c r="J116" s="12">
        <v>27</v>
      </c>
      <c r="K116" s="12">
        <v>27</v>
      </c>
      <c r="L116" s="12">
        <v>28</v>
      </c>
      <c r="M116" s="12">
        <v>21</v>
      </c>
      <c r="N116" s="12">
        <v>25</v>
      </c>
      <c r="O116" s="12">
        <v>27</v>
      </c>
      <c r="P116" s="12">
        <v>21</v>
      </c>
      <c r="Q116" s="12">
        <v>21</v>
      </c>
      <c r="R116" s="12">
        <v>21</v>
      </c>
      <c r="S116" s="12">
        <v>21</v>
      </c>
      <c r="T116" s="12">
        <v>22</v>
      </c>
      <c r="U116" s="12">
        <v>16</v>
      </c>
      <c r="V116" s="12">
        <v>20</v>
      </c>
      <c r="W116" s="12">
        <v>21</v>
      </c>
      <c r="X116" s="12">
        <v>21</v>
      </c>
      <c r="Y116" s="12">
        <v>21</v>
      </c>
      <c r="Z116" s="12">
        <v>21</v>
      </c>
      <c r="AA116" s="12">
        <v>22</v>
      </c>
      <c r="AB116" s="12">
        <v>16</v>
      </c>
      <c r="AC116" s="12">
        <v>20</v>
      </c>
      <c r="AD116" s="12">
        <v>21</v>
      </c>
      <c r="AE116" s="12">
        <v>21</v>
      </c>
      <c r="AF116" s="12">
        <v>21</v>
      </c>
      <c r="AG116" s="12">
        <v>22</v>
      </c>
      <c r="AH116" s="216"/>
      <c r="AI116" s="221">
        <f t="shared" si="5"/>
        <v>680</v>
      </c>
      <c r="AJ116" s="417"/>
    </row>
    <row r="117" spans="2:36" ht="15.6" x14ac:dyDescent="0.3">
      <c r="B117" s="414"/>
      <c r="C117" s="253">
        <v>44835</v>
      </c>
      <c r="D117" s="191">
        <v>20</v>
      </c>
      <c r="E117" s="12">
        <v>24</v>
      </c>
      <c r="F117" s="12">
        <v>25</v>
      </c>
      <c r="G117" s="12">
        <v>25</v>
      </c>
      <c r="H117" s="12">
        <v>25</v>
      </c>
      <c r="I117" s="12">
        <v>25</v>
      </c>
      <c r="J117" s="12">
        <v>26</v>
      </c>
      <c r="K117" s="12">
        <v>20</v>
      </c>
      <c r="L117" s="12">
        <v>24</v>
      </c>
      <c r="M117" s="12">
        <v>21</v>
      </c>
      <c r="N117" s="12">
        <v>21</v>
      </c>
      <c r="O117" s="12">
        <v>25</v>
      </c>
      <c r="P117" s="12">
        <v>25</v>
      </c>
      <c r="Q117" s="12">
        <v>26</v>
      </c>
      <c r="R117" s="12">
        <v>20</v>
      </c>
      <c r="S117" s="12">
        <v>24</v>
      </c>
      <c r="T117" s="12">
        <v>25</v>
      </c>
      <c r="U117" s="12">
        <v>25</v>
      </c>
      <c r="V117" s="12">
        <v>25</v>
      </c>
      <c r="W117" s="12">
        <v>25</v>
      </c>
      <c r="X117" s="12">
        <v>26</v>
      </c>
      <c r="Y117" s="12">
        <v>20</v>
      </c>
      <c r="Z117" s="12">
        <v>24</v>
      </c>
      <c r="AA117" s="12">
        <v>25</v>
      </c>
      <c r="AB117" s="12">
        <v>25</v>
      </c>
      <c r="AC117" s="12">
        <v>25</v>
      </c>
      <c r="AD117" s="12">
        <v>25</v>
      </c>
      <c r="AE117" s="12">
        <v>26</v>
      </c>
      <c r="AF117" s="12">
        <v>20</v>
      </c>
      <c r="AG117" s="12">
        <v>21</v>
      </c>
      <c r="AH117" s="14">
        <v>23</v>
      </c>
      <c r="AI117" s="221">
        <f t="shared" si="5"/>
        <v>736</v>
      </c>
      <c r="AJ117" s="417"/>
    </row>
    <row r="118" spans="2:36" ht="16.2" thickBot="1" x14ac:dyDescent="0.35">
      <c r="B118" s="414"/>
      <c r="C118" s="253">
        <v>44866</v>
      </c>
      <c r="D118" s="191">
        <v>27</v>
      </c>
      <c r="E118" s="12">
        <v>27</v>
      </c>
      <c r="F118" s="12">
        <v>27</v>
      </c>
      <c r="G118" s="12">
        <v>28</v>
      </c>
      <c r="H118" s="12">
        <v>21</v>
      </c>
      <c r="I118" s="12">
        <v>25</v>
      </c>
      <c r="J118" s="12">
        <v>21</v>
      </c>
      <c r="K118" s="12">
        <v>27</v>
      </c>
      <c r="L118" s="12">
        <v>26</v>
      </c>
      <c r="M118" s="12">
        <v>27</v>
      </c>
      <c r="N118" s="12">
        <v>21</v>
      </c>
      <c r="O118" s="12">
        <v>21</v>
      </c>
      <c r="P118" s="12">
        <v>25</v>
      </c>
      <c r="Q118" s="12">
        <v>27</v>
      </c>
      <c r="R118" s="12">
        <v>27</v>
      </c>
      <c r="S118" s="12">
        <v>27</v>
      </c>
      <c r="T118" s="12">
        <v>27</v>
      </c>
      <c r="U118" s="12">
        <v>28</v>
      </c>
      <c r="V118" s="12">
        <v>21</v>
      </c>
      <c r="W118" s="34">
        <v>25</v>
      </c>
      <c r="X118" s="12">
        <v>27</v>
      </c>
      <c r="Y118" s="12">
        <v>27</v>
      </c>
      <c r="Z118" s="12">
        <v>27</v>
      </c>
      <c r="AA118" s="12">
        <v>27</v>
      </c>
      <c r="AB118" s="12">
        <v>28</v>
      </c>
      <c r="AC118" s="12">
        <v>21</v>
      </c>
      <c r="AD118" s="12">
        <v>25</v>
      </c>
      <c r="AE118" s="12">
        <v>27</v>
      </c>
      <c r="AF118" s="12">
        <v>27</v>
      </c>
      <c r="AG118" s="12">
        <v>27</v>
      </c>
      <c r="AH118" s="216"/>
      <c r="AI118" s="221">
        <f t="shared" si="5"/>
        <v>768</v>
      </c>
      <c r="AJ118" s="417"/>
    </row>
    <row r="119" spans="2:36" ht="16.2" thickBot="1" x14ac:dyDescent="0.35">
      <c r="B119" s="414"/>
      <c r="C119" s="253">
        <v>44896</v>
      </c>
      <c r="D119" s="191">
        <v>27</v>
      </c>
      <c r="E119" s="12">
        <v>28</v>
      </c>
      <c r="F119" s="12">
        <v>21</v>
      </c>
      <c r="G119" s="12">
        <v>25</v>
      </c>
      <c r="H119" s="12">
        <v>25</v>
      </c>
      <c r="I119" s="12">
        <v>27</v>
      </c>
      <c r="J119" s="12">
        <v>25</v>
      </c>
      <c r="K119" s="12">
        <v>28</v>
      </c>
      <c r="L119" s="12">
        <v>28</v>
      </c>
      <c r="M119" s="12">
        <v>21</v>
      </c>
      <c r="N119" s="12">
        <v>24</v>
      </c>
      <c r="O119" s="12">
        <v>27</v>
      </c>
      <c r="P119" s="12">
        <v>28</v>
      </c>
      <c r="Q119" s="12">
        <v>28</v>
      </c>
      <c r="R119" s="12">
        <v>28</v>
      </c>
      <c r="S119" s="12">
        <v>28</v>
      </c>
      <c r="T119" s="12">
        <v>21</v>
      </c>
      <c r="U119" s="12">
        <v>24</v>
      </c>
      <c r="V119" s="14">
        <v>28</v>
      </c>
      <c r="W119" s="183">
        <v>46</v>
      </c>
      <c r="X119" s="181">
        <v>46</v>
      </c>
      <c r="Y119" s="12">
        <v>45</v>
      </c>
      <c r="Z119" s="12">
        <v>46</v>
      </c>
      <c r="AA119" s="12">
        <v>32</v>
      </c>
      <c r="AB119" s="12">
        <v>35</v>
      </c>
      <c r="AC119" s="12">
        <v>46</v>
      </c>
      <c r="AD119" s="12">
        <v>46</v>
      </c>
      <c r="AE119" s="12">
        <v>46</v>
      </c>
      <c r="AF119" s="12">
        <v>46</v>
      </c>
      <c r="AG119" s="12">
        <v>46</v>
      </c>
      <c r="AH119" s="14">
        <v>32</v>
      </c>
      <c r="AI119" s="221">
        <f t="shared" si="5"/>
        <v>1003</v>
      </c>
      <c r="AJ119" s="417"/>
    </row>
    <row r="120" spans="2:36" ht="15.6" x14ac:dyDescent="0.3">
      <c r="B120" s="414"/>
      <c r="C120" s="253">
        <v>44927</v>
      </c>
      <c r="D120" s="191">
        <v>36</v>
      </c>
      <c r="E120" s="12">
        <v>46</v>
      </c>
      <c r="F120" s="12">
        <v>46</v>
      </c>
      <c r="G120" s="12">
        <v>46</v>
      </c>
      <c r="H120" s="12">
        <v>47</v>
      </c>
      <c r="I120" s="12">
        <v>37</v>
      </c>
      <c r="J120" s="12">
        <v>35</v>
      </c>
      <c r="K120" s="12">
        <v>38</v>
      </c>
      <c r="L120" s="12">
        <v>46</v>
      </c>
      <c r="M120" s="12">
        <v>46</v>
      </c>
      <c r="N120" s="12">
        <v>46</v>
      </c>
      <c r="O120" s="12">
        <v>46</v>
      </c>
      <c r="P120" s="12">
        <v>46</v>
      </c>
      <c r="Q120" s="12">
        <v>35</v>
      </c>
      <c r="R120" s="12">
        <v>38</v>
      </c>
      <c r="S120" s="12">
        <v>46</v>
      </c>
      <c r="T120" s="12">
        <v>46</v>
      </c>
      <c r="U120" s="12">
        <v>46</v>
      </c>
      <c r="V120" s="12">
        <v>46</v>
      </c>
      <c r="W120" s="182">
        <v>46</v>
      </c>
      <c r="X120" s="12">
        <v>34</v>
      </c>
      <c r="Y120" s="12">
        <v>38</v>
      </c>
      <c r="Z120" s="12">
        <v>46</v>
      </c>
      <c r="AA120" s="12">
        <v>46</v>
      </c>
      <c r="AB120" s="12">
        <v>45</v>
      </c>
      <c r="AC120" s="12">
        <v>46</v>
      </c>
      <c r="AD120" s="12">
        <v>46</v>
      </c>
      <c r="AE120" s="12">
        <v>36</v>
      </c>
      <c r="AF120" s="12">
        <v>38</v>
      </c>
      <c r="AG120" s="12">
        <v>46</v>
      </c>
      <c r="AH120" s="14">
        <v>46</v>
      </c>
      <c r="AI120" s="221">
        <f t="shared" si="5"/>
        <v>1331</v>
      </c>
      <c r="AJ120" s="417"/>
    </row>
    <row r="121" spans="2:36" ht="16.2" thickBot="1" x14ac:dyDescent="0.35">
      <c r="B121" s="414"/>
      <c r="C121" s="253">
        <v>44958</v>
      </c>
      <c r="D121" s="191">
        <v>46</v>
      </c>
      <c r="E121" s="12">
        <v>46</v>
      </c>
      <c r="F121" s="12">
        <v>47</v>
      </c>
      <c r="G121" s="12">
        <v>36</v>
      </c>
      <c r="H121" s="12">
        <v>38</v>
      </c>
      <c r="I121" s="12">
        <v>46</v>
      </c>
      <c r="J121" s="12">
        <v>46</v>
      </c>
      <c r="K121" s="12">
        <v>46</v>
      </c>
      <c r="L121" s="12">
        <v>36</v>
      </c>
      <c r="M121" s="12">
        <v>47</v>
      </c>
      <c r="N121" s="12">
        <v>36</v>
      </c>
      <c r="O121" s="12">
        <v>38</v>
      </c>
      <c r="P121" s="12">
        <v>46</v>
      </c>
      <c r="Q121" s="12">
        <v>46</v>
      </c>
      <c r="R121" s="12">
        <v>46</v>
      </c>
      <c r="S121" s="12">
        <v>46</v>
      </c>
      <c r="T121" s="12">
        <v>47</v>
      </c>
      <c r="U121" s="12">
        <v>36</v>
      </c>
      <c r="V121" s="12">
        <v>38</v>
      </c>
      <c r="W121" s="12">
        <v>46</v>
      </c>
      <c r="X121" s="12">
        <v>46</v>
      </c>
      <c r="Y121" s="12">
        <v>46</v>
      </c>
      <c r="Z121" s="12">
        <v>46</v>
      </c>
      <c r="AA121" s="12">
        <v>47</v>
      </c>
      <c r="AB121" s="12">
        <v>36</v>
      </c>
      <c r="AC121" s="12">
        <v>38</v>
      </c>
      <c r="AD121" s="34">
        <v>46</v>
      </c>
      <c r="AE121" s="12">
        <v>46</v>
      </c>
      <c r="AF121" s="189"/>
      <c r="AG121" s="189"/>
      <c r="AH121" s="216"/>
      <c r="AI121" s="221">
        <f t="shared" si="5"/>
        <v>1210</v>
      </c>
      <c r="AJ121" s="417"/>
    </row>
    <row r="122" spans="2:36" ht="16.2" thickBot="1" x14ac:dyDescent="0.35">
      <c r="B122" s="414"/>
      <c r="C122" s="253">
        <v>44986</v>
      </c>
      <c r="D122" s="191">
        <v>46</v>
      </c>
      <c r="E122" s="12">
        <v>46</v>
      </c>
      <c r="F122" s="12">
        <v>47</v>
      </c>
      <c r="G122" s="12">
        <v>36</v>
      </c>
      <c r="H122" s="12">
        <v>38</v>
      </c>
      <c r="I122" s="12">
        <v>46</v>
      </c>
      <c r="J122" s="12">
        <v>46</v>
      </c>
      <c r="K122" s="12">
        <v>46</v>
      </c>
      <c r="L122" s="12">
        <v>46</v>
      </c>
      <c r="M122" s="12">
        <v>47</v>
      </c>
      <c r="N122" s="12">
        <v>36</v>
      </c>
      <c r="O122" s="12">
        <v>38</v>
      </c>
      <c r="P122" s="12">
        <v>46</v>
      </c>
      <c r="Q122" s="12">
        <v>46</v>
      </c>
      <c r="R122" s="12">
        <v>46</v>
      </c>
      <c r="S122" s="12">
        <v>46</v>
      </c>
      <c r="T122" s="12">
        <v>47</v>
      </c>
      <c r="U122" s="12">
        <v>36</v>
      </c>
      <c r="V122" s="12">
        <v>37</v>
      </c>
      <c r="W122" s="12">
        <v>46</v>
      </c>
      <c r="X122" s="12">
        <v>46</v>
      </c>
      <c r="Y122" s="12">
        <v>46</v>
      </c>
      <c r="Z122" s="12">
        <v>46</v>
      </c>
      <c r="AA122" s="12">
        <v>47</v>
      </c>
      <c r="AB122" s="12">
        <v>36</v>
      </c>
      <c r="AC122" s="14">
        <v>38</v>
      </c>
      <c r="AD122" s="183">
        <v>49</v>
      </c>
      <c r="AE122" s="181">
        <v>49</v>
      </c>
      <c r="AF122" s="12">
        <v>49</v>
      </c>
      <c r="AG122" s="12">
        <v>49</v>
      </c>
      <c r="AH122" s="14">
        <v>50</v>
      </c>
      <c r="AI122" s="221">
        <f t="shared" si="5"/>
        <v>1373</v>
      </c>
      <c r="AJ122" s="417"/>
    </row>
    <row r="123" spans="2:36" ht="16.2" thickBot="1" x14ac:dyDescent="0.35">
      <c r="B123" s="414"/>
      <c r="C123" s="253">
        <v>45017</v>
      </c>
      <c r="D123" s="191">
        <v>39</v>
      </c>
      <c r="E123" s="12">
        <v>42</v>
      </c>
      <c r="F123" s="12">
        <v>49</v>
      </c>
      <c r="G123" s="12">
        <v>49</v>
      </c>
      <c r="H123" s="12">
        <v>50</v>
      </c>
      <c r="I123" s="12">
        <v>48</v>
      </c>
      <c r="J123" s="12">
        <v>42</v>
      </c>
      <c r="K123" s="12">
        <v>39</v>
      </c>
      <c r="L123" s="12">
        <v>42</v>
      </c>
      <c r="M123" s="12">
        <v>49</v>
      </c>
      <c r="N123" s="12">
        <v>49</v>
      </c>
      <c r="O123" s="12">
        <v>49</v>
      </c>
      <c r="P123" s="12">
        <v>49</v>
      </c>
      <c r="Q123" s="12">
        <v>50</v>
      </c>
      <c r="R123" s="12">
        <v>39</v>
      </c>
      <c r="S123" s="12">
        <v>42</v>
      </c>
      <c r="T123" s="12">
        <v>49</v>
      </c>
      <c r="U123" s="12">
        <v>49</v>
      </c>
      <c r="V123" s="12">
        <v>49</v>
      </c>
      <c r="W123" s="12">
        <v>49</v>
      </c>
      <c r="X123" s="12">
        <v>50</v>
      </c>
      <c r="Y123" s="12">
        <v>39</v>
      </c>
      <c r="Z123" s="12">
        <v>42</v>
      </c>
      <c r="AA123" s="12">
        <v>49</v>
      </c>
      <c r="AB123" s="12">
        <v>49</v>
      </c>
      <c r="AC123" s="14">
        <v>49</v>
      </c>
      <c r="AD123" s="183">
        <v>51</v>
      </c>
      <c r="AE123" s="181">
        <v>54</v>
      </c>
      <c r="AF123" s="12">
        <v>43</v>
      </c>
      <c r="AG123" s="12">
        <v>45</v>
      </c>
      <c r="AH123" s="216"/>
      <c r="AI123" s="221">
        <f t="shared" si="5"/>
        <v>1394</v>
      </c>
      <c r="AJ123" s="417"/>
    </row>
    <row r="124" spans="2:36" ht="16.2" thickBot="1" x14ac:dyDescent="0.35">
      <c r="B124" s="414"/>
      <c r="C124" s="256">
        <v>45047</v>
      </c>
      <c r="D124" s="193">
        <v>47</v>
      </c>
      <c r="E124" s="34">
        <v>52</v>
      </c>
      <c r="F124" s="34">
        <v>53</v>
      </c>
      <c r="G124" s="34">
        <v>53</v>
      </c>
      <c r="H124" s="34">
        <v>54</v>
      </c>
      <c r="I124" s="34">
        <v>43</v>
      </c>
      <c r="J124" s="34">
        <v>46</v>
      </c>
      <c r="K124" s="34">
        <v>53</v>
      </c>
      <c r="L124" s="34">
        <v>53</v>
      </c>
      <c r="M124" s="34">
        <v>53</v>
      </c>
      <c r="N124" s="34">
        <v>53</v>
      </c>
      <c r="O124" s="34">
        <v>54</v>
      </c>
      <c r="P124" s="34">
        <v>43</v>
      </c>
      <c r="Q124" s="34">
        <v>46</v>
      </c>
      <c r="R124" s="34">
        <v>52</v>
      </c>
      <c r="S124" s="34">
        <v>53</v>
      </c>
      <c r="T124" s="34">
        <v>53</v>
      </c>
      <c r="U124" s="34">
        <v>53</v>
      </c>
      <c r="V124" s="34">
        <v>54</v>
      </c>
      <c r="W124" s="34">
        <v>45</v>
      </c>
      <c r="X124" s="34">
        <v>46</v>
      </c>
      <c r="Y124" s="34">
        <v>53</v>
      </c>
      <c r="Z124" s="34">
        <v>53</v>
      </c>
      <c r="AA124" s="34">
        <v>53</v>
      </c>
      <c r="AB124" s="34">
        <v>53</v>
      </c>
      <c r="AC124" s="34">
        <v>54</v>
      </c>
      <c r="AD124" s="184">
        <v>43</v>
      </c>
      <c r="AE124" s="34">
        <v>46</v>
      </c>
      <c r="AF124" s="34">
        <v>53</v>
      </c>
      <c r="AG124" s="34">
        <v>53</v>
      </c>
      <c r="AH124" s="35">
        <v>53</v>
      </c>
      <c r="AI124" s="223">
        <f t="shared" si="5"/>
        <v>1573</v>
      </c>
      <c r="AJ124" s="417"/>
    </row>
    <row r="125" spans="2:36" ht="16.2" thickBot="1" x14ac:dyDescent="0.35">
      <c r="B125" s="413">
        <v>11</v>
      </c>
      <c r="C125" s="257">
        <v>45078</v>
      </c>
      <c r="D125" s="194">
        <v>53</v>
      </c>
      <c r="E125" s="183">
        <v>58</v>
      </c>
      <c r="F125" s="186">
        <v>47</v>
      </c>
      <c r="G125" s="185">
        <v>50</v>
      </c>
      <c r="H125" s="185">
        <v>57</v>
      </c>
      <c r="I125" s="185">
        <v>57</v>
      </c>
      <c r="J125" s="185">
        <v>57</v>
      </c>
      <c r="K125" s="185">
        <v>57</v>
      </c>
      <c r="L125" s="185">
        <v>58</v>
      </c>
      <c r="M125" s="185">
        <v>47</v>
      </c>
      <c r="N125" s="185">
        <v>50</v>
      </c>
      <c r="O125" s="185">
        <v>57</v>
      </c>
      <c r="P125" s="185">
        <v>57</v>
      </c>
      <c r="Q125" s="185">
        <v>57</v>
      </c>
      <c r="R125" s="185">
        <v>57</v>
      </c>
      <c r="S125" s="185">
        <v>58</v>
      </c>
      <c r="T125" s="185">
        <v>47</v>
      </c>
      <c r="U125" s="185">
        <v>50</v>
      </c>
      <c r="V125" s="185">
        <v>57</v>
      </c>
      <c r="W125" s="185">
        <v>59</v>
      </c>
      <c r="X125" s="185">
        <v>57</v>
      </c>
      <c r="Y125" s="185">
        <v>57</v>
      </c>
      <c r="Z125" s="185">
        <v>57</v>
      </c>
      <c r="AA125" s="185">
        <v>47</v>
      </c>
      <c r="AB125" s="185">
        <v>40</v>
      </c>
      <c r="AC125" s="185">
        <v>57</v>
      </c>
      <c r="AD125" s="185">
        <v>57</v>
      </c>
      <c r="AE125" s="185">
        <v>57</v>
      </c>
      <c r="AF125" s="185">
        <v>57</v>
      </c>
      <c r="AG125" s="185">
        <v>58</v>
      </c>
      <c r="AH125" s="218"/>
      <c r="AI125" s="220">
        <f>SUM(D125:AH125)</f>
        <v>1634</v>
      </c>
      <c r="AJ125" s="416">
        <f>SUM(AI125:AI136)</f>
        <v>19354</v>
      </c>
    </row>
    <row r="126" spans="2:36" ht="15.6" x14ac:dyDescent="0.3">
      <c r="B126" s="414"/>
      <c r="C126" s="253">
        <v>45108</v>
      </c>
      <c r="D126" s="193">
        <v>47</v>
      </c>
      <c r="E126" s="184">
        <v>50</v>
      </c>
      <c r="F126" s="34">
        <v>57</v>
      </c>
      <c r="G126" s="34">
        <v>57</v>
      </c>
      <c r="H126" s="34">
        <v>57</v>
      </c>
      <c r="I126" s="34">
        <v>58</v>
      </c>
      <c r="J126" s="34">
        <v>58</v>
      </c>
      <c r="K126" s="34">
        <v>47</v>
      </c>
      <c r="L126" s="34">
        <v>50</v>
      </c>
      <c r="M126" s="34">
        <v>57</v>
      </c>
      <c r="N126" s="34">
        <v>57</v>
      </c>
      <c r="O126" s="34">
        <v>57</v>
      </c>
      <c r="P126" s="34">
        <v>57</v>
      </c>
      <c r="Q126" s="34">
        <v>58</v>
      </c>
      <c r="R126" s="34">
        <v>47</v>
      </c>
      <c r="S126" s="34">
        <v>50</v>
      </c>
      <c r="T126" s="34">
        <v>57</v>
      </c>
      <c r="U126" s="34">
        <v>57</v>
      </c>
      <c r="V126" s="34">
        <v>57</v>
      </c>
      <c r="W126" s="34">
        <v>57</v>
      </c>
      <c r="X126" s="34">
        <v>58</v>
      </c>
      <c r="Y126" s="34">
        <v>47</v>
      </c>
      <c r="Z126" s="34">
        <v>51</v>
      </c>
      <c r="AA126" s="34">
        <v>57</v>
      </c>
      <c r="AB126" s="34">
        <v>57</v>
      </c>
      <c r="AC126" s="34">
        <v>57</v>
      </c>
      <c r="AD126" s="34">
        <v>57</v>
      </c>
      <c r="AE126" s="34">
        <v>58</v>
      </c>
      <c r="AF126" s="34">
        <v>47</v>
      </c>
      <c r="AG126" s="34">
        <v>51</v>
      </c>
      <c r="AH126" s="35">
        <v>57</v>
      </c>
      <c r="AI126" s="221">
        <f t="shared" ref="AI126:AI138" si="6">SUM(D126:AH126)</f>
        <v>1689</v>
      </c>
      <c r="AJ126" s="417"/>
    </row>
    <row r="127" spans="2:36" ht="15.6" x14ac:dyDescent="0.3">
      <c r="B127" s="414"/>
      <c r="C127" s="253">
        <v>45139</v>
      </c>
      <c r="D127" s="193">
        <v>57</v>
      </c>
      <c r="E127" s="34">
        <v>57</v>
      </c>
      <c r="F127" s="34">
        <v>57</v>
      </c>
      <c r="G127" s="34">
        <v>58</v>
      </c>
      <c r="H127" s="34">
        <v>47</v>
      </c>
      <c r="I127" s="34">
        <v>50</v>
      </c>
      <c r="J127" s="34">
        <v>57</v>
      </c>
      <c r="K127" s="34">
        <v>57</v>
      </c>
      <c r="L127" s="34">
        <v>57</v>
      </c>
      <c r="M127" s="34">
        <v>57</v>
      </c>
      <c r="N127" s="34">
        <v>58</v>
      </c>
      <c r="O127" s="34">
        <v>47</v>
      </c>
      <c r="P127" s="34">
        <v>49</v>
      </c>
      <c r="Q127" s="34">
        <v>57</v>
      </c>
      <c r="R127" s="34">
        <v>57</v>
      </c>
      <c r="S127" s="34">
        <v>57</v>
      </c>
      <c r="T127" s="34">
        <v>57</v>
      </c>
      <c r="U127" s="34">
        <v>58</v>
      </c>
      <c r="V127" s="34">
        <v>47</v>
      </c>
      <c r="W127" s="34">
        <v>50</v>
      </c>
      <c r="X127" s="34">
        <v>57</v>
      </c>
      <c r="Y127" s="34">
        <v>57</v>
      </c>
      <c r="Z127" s="34">
        <v>57</v>
      </c>
      <c r="AA127" s="34">
        <v>57</v>
      </c>
      <c r="AB127" s="34">
        <v>58</v>
      </c>
      <c r="AC127" s="34">
        <v>47</v>
      </c>
      <c r="AD127" s="34">
        <v>50</v>
      </c>
      <c r="AE127" s="34">
        <v>57</v>
      </c>
      <c r="AF127" s="34">
        <v>57</v>
      </c>
      <c r="AG127" s="34">
        <v>56</v>
      </c>
      <c r="AH127" s="35">
        <v>57</v>
      </c>
      <c r="AI127" s="221">
        <f t="shared" si="6"/>
        <v>1701</v>
      </c>
      <c r="AJ127" s="417"/>
    </row>
    <row r="128" spans="2:36" ht="15.6" x14ac:dyDescent="0.3">
      <c r="B128" s="414"/>
      <c r="C128" s="253">
        <v>45170</v>
      </c>
      <c r="D128" s="191">
        <v>58</v>
      </c>
      <c r="E128" s="12">
        <v>47</v>
      </c>
      <c r="F128" s="12">
        <v>50</v>
      </c>
      <c r="G128" s="12">
        <v>57</v>
      </c>
      <c r="H128" s="12">
        <v>57</v>
      </c>
      <c r="I128" s="12">
        <v>57</v>
      </c>
      <c r="J128" s="12">
        <v>57</v>
      </c>
      <c r="K128" s="12">
        <v>58</v>
      </c>
      <c r="L128" s="12">
        <v>47</v>
      </c>
      <c r="M128" s="12">
        <v>50</v>
      </c>
      <c r="N128" s="12">
        <v>57</v>
      </c>
      <c r="O128" s="12">
        <v>57</v>
      </c>
      <c r="P128" s="12">
        <v>57</v>
      </c>
      <c r="Q128" s="12">
        <v>57</v>
      </c>
      <c r="R128" s="12">
        <v>56</v>
      </c>
      <c r="S128" s="12">
        <v>45</v>
      </c>
      <c r="T128" s="12">
        <v>48</v>
      </c>
      <c r="U128" s="12">
        <v>53</v>
      </c>
      <c r="V128" s="12">
        <v>53</v>
      </c>
      <c r="W128" s="12">
        <v>53</v>
      </c>
      <c r="X128" s="12">
        <v>53</v>
      </c>
      <c r="Y128" s="12">
        <v>56</v>
      </c>
      <c r="Z128" s="12">
        <v>45</v>
      </c>
      <c r="AA128" s="12">
        <v>48</v>
      </c>
      <c r="AB128" s="12">
        <v>53</v>
      </c>
      <c r="AC128" s="12">
        <v>53</v>
      </c>
      <c r="AD128" s="12">
        <v>53</v>
      </c>
      <c r="AE128" s="12">
        <v>53</v>
      </c>
      <c r="AF128" s="12">
        <v>56</v>
      </c>
      <c r="AG128" s="12">
        <v>47</v>
      </c>
      <c r="AH128" s="219"/>
      <c r="AI128" s="221">
        <f t="shared" si="6"/>
        <v>1591</v>
      </c>
      <c r="AJ128" s="417"/>
    </row>
    <row r="129" spans="1:36" ht="15.6" x14ac:dyDescent="0.3">
      <c r="B129" s="414"/>
      <c r="C129" s="253">
        <v>45200</v>
      </c>
      <c r="D129" s="191">
        <v>49</v>
      </c>
      <c r="E129" s="12">
        <v>53</v>
      </c>
      <c r="F129" s="12">
        <v>53</v>
      </c>
      <c r="G129" s="12">
        <v>53</v>
      </c>
      <c r="H129" s="12">
        <v>53</v>
      </c>
      <c r="I129" s="12">
        <v>56</v>
      </c>
      <c r="J129" s="12">
        <v>48</v>
      </c>
      <c r="K129" s="12">
        <v>48</v>
      </c>
      <c r="L129" s="12">
        <v>54</v>
      </c>
      <c r="M129" s="12">
        <v>52</v>
      </c>
      <c r="N129" s="12">
        <v>54</v>
      </c>
      <c r="O129" s="12">
        <v>46</v>
      </c>
      <c r="P129" s="12">
        <v>36</v>
      </c>
      <c r="Q129" s="12">
        <v>43</v>
      </c>
      <c r="R129" s="12">
        <v>48</v>
      </c>
      <c r="S129" s="12">
        <v>53</v>
      </c>
      <c r="T129" s="12">
        <v>53</v>
      </c>
      <c r="U129" s="12">
        <v>53</v>
      </c>
      <c r="V129" s="12">
        <v>53</v>
      </c>
      <c r="W129" s="12">
        <v>56</v>
      </c>
      <c r="X129" s="12">
        <v>45</v>
      </c>
      <c r="Y129" s="12">
        <v>48</v>
      </c>
      <c r="Z129" s="12">
        <v>53</v>
      </c>
      <c r="AA129" s="12">
        <v>53</v>
      </c>
      <c r="AB129" s="12">
        <v>53</v>
      </c>
      <c r="AC129" s="12">
        <v>53</v>
      </c>
      <c r="AD129" s="12">
        <v>56</v>
      </c>
      <c r="AE129" s="12">
        <v>45</v>
      </c>
      <c r="AF129" s="12">
        <v>48</v>
      </c>
      <c r="AG129" s="12">
        <v>53</v>
      </c>
      <c r="AH129" s="14">
        <v>53</v>
      </c>
      <c r="AI129" s="221">
        <f t="shared" si="6"/>
        <v>1574</v>
      </c>
      <c r="AJ129" s="417"/>
    </row>
    <row r="130" spans="1:36" ht="15.6" x14ac:dyDescent="0.3">
      <c r="B130" s="414"/>
      <c r="C130" s="253">
        <v>45231</v>
      </c>
      <c r="D130" s="191">
        <v>47</v>
      </c>
      <c r="E130" s="12">
        <v>53</v>
      </c>
      <c r="F130" s="12">
        <v>56</v>
      </c>
      <c r="G130" s="12">
        <v>45</v>
      </c>
      <c r="H130" s="12">
        <v>48</v>
      </c>
      <c r="I130" s="12">
        <v>53</v>
      </c>
      <c r="J130" s="12">
        <v>53</v>
      </c>
      <c r="K130" s="12">
        <v>53</v>
      </c>
      <c r="L130" s="12">
        <v>52</v>
      </c>
      <c r="M130" s="12">
        <v>56</v>
      </c>
      <c r="N130" s="12">
        <v>45</v>
      </c>
      <c r="O130" s="12">
        <v>49</v>
      </c>
      <c r="P130" s="12">
        <v>53</v>
      </c>
      <c r="Q130" s="12">
        <v>53</v>
      </c>
      <c r="R130" s="12">
        <v>53</v>
      </c>
      <c r="S130" s="12">
        <v>53</v>
      </c>
      <c r="T130" s="12">
        <v>56</v>
      </c>
      <c r="U130" s="12">
        <v>45</v>
      </c>
      <c r="V130" s="12">
        <v>48</v>
      </c>
      <c r="W130" s="12">
        <v>52</v>
      </c>
      <c r="X130" s="12">
        <v>53</v>
      </c>
      <c r="Y130" s="12">
        <v>53</v>
      </c>
      <c r="Z130" s="12">
        <v>53</v>
      </c>
      <c r="AA130" s="12">
        <v>52</v>
      </c>
      <c r="AB130" s="12">
        <v>45</v>
      </c>
      <c r="AC130" s="12">
        <v>49</v>
      </c>
      <c r="AD130" s="12">
        <v>53</v>
      </c>
      <c r="AE130" s="12">
        <v>53</v>
      </c>
      <c r="AF130" s="12">
        <v>53</v>
      </c>
      <c r="AG130" s="12">
        <v>53</v>
      </c>
      <c r="AH130" s="216"/>
      <c r="AI130" s="221">
        <f t="shared" si="6"/>
        <v>1540</v>
      </c>
      <c r="AJ130" s="417"/>
    </row>
    <row r="131" spans="1:36" ht="15.6" x14ac:dyDescent="0.3">
      <c r="B131" s="414"/>
      <c r="C131" s="253">
        <v>45261</v>
      </c>
      <c r="D131" s="191">
        <v>56</v>
      </c>
      <c r="E131" s="12">
        <v>46</v>
      </c>
      <c r="F131" s="12">
        <v>48</v>
      </c>
      <c r="G131" s="12">
        <v>53</v>
      </c>
      <c r="H131" s="12">
        <v>53</v>
      </c>
      <c r="I131" s="12">
        <v>46</v>
      </c>
      <c r="J131" s="12">
        <v>53</v>
      </c>
      <c r="K131" s="12">
        <v>44</v>
      </c>
      <c r="L131" s="12">
        <v>42</v>
      </c>
      <c r="M131" s="12">
        <v>51</v>
      </c>
      <c r="N131" s="12">
        <v>54</v>
      </c>
      <c r="O131" s="12">
        <v>54</v>
      </c>
      <c r="P131" s="12">
        <v>54</v>
      </c>
      <c r="Q131" s="12">
        <v>56</v>
      </c>
      <c r="R131" s="12">
        <v>59</v>
      </c>
      <c r="S131" s="12">
        <v>47</v>
      </c>
      <c r="T131" s="12">
        <v>51</v>
      </c>
      <c r="U131" s="12">
        <v>56</v>
      </c>
      <c r="V131" s="12">
        <v>56</v>
      </c>
      <c r="W131" s="12">
        <v>56</v>
      </c>
      <c r="X131" s="12">
        <v>56</v>
      </c>
      <c r="Y131" s="12">
        <v>59</v>
      </c>
      <c r="Z131" s="12">
        <v>47</v>
      </c>
      <c r="AA131" s="12">
        <v>42</v>
      </c>
      <c r="AB131" s="12">
        <v>43</v>
      </c>
      <c r="AC131" s="12">
        <v>56</v>
      </c>
      <c r="AD131" s="12">
        <v>56</v>
      </c>
      <c r="AE131" s="12">
        <v>56</v>
      </c>
      <c r="AF131" s="12">
        <v>59</v>
      </c>
      <c r="AG131" s="12">
        <v>47</v>
      </c>
      <c r="AH131" s="14">
        <v>43</v>
      </c>
      <c r="AI131" s="221">
        <f t="shared" si="6"/>
        <v>1599</v>
      </c>
      <c r="AJ131" s="417"/>
    </row>
    <row r="132" spans="1:36" ht="15.6" x14ac:dyDescent="0.3">
      <c r="B132" s="414"/>
      <c r="C132" s="253">
        <v>45292</v>
      </c>
      <c r="D132" s="191">
        <v>43</v>
      </c>
      <c r="E132" s="12">
        <v>54</v>
      </c>
      <c r="F132" s="12">
        <v>54</v>
      </c>
      <c r="G132" s="12">
        <v>54</v>
      </c>
      <c r="H132" s="12">
        <v>57</v>
      </c>
      <c r="I132" s="12">
        <v>47</v>
      </c>
      <c r="J132" s="12">
        <v>53</v>
      </c>
      <c r="K132" s="12">
        <v>51</v>
      </c>
      <c r="L132" s="12">
        <v>51</v>
      </c>
      <c r="M132" s="12">
        <v>54</v>
      </c>
      <c r="N132" s="12">
        <v>55</v>
      </c>
      <c r="O132" s="12">
        <v>58</v>
      </c>
      <c r="P132" s="12">
        <v>46</v>
      </c>
      <c r="Q132" s="12">
        <v>50</v>
      </c>
      <c r="R132" s="12">
        <v>53</v>
      </c>
      <c r="S132" s="12">
        <v>53</v>
      </c>
      <c r="T132" s="12">
        <v>54</v>
      </c>
      <c r="U132" s="12">
        <v>56</v>
      </c>
      <c r="V132" s="12">
        <v>59</v>
      </c>
      <c r="W132" s="12">
        <v>47</v>
      </c>
      <c r="X132" s="12">
        <v>51</v>
      </c>
      <c r="Y132" s="12">
        <v>54</v>
      </c>
      <c r="Z132" s="12">
        <v>53</v>
      </c>
      <c r="AA132" s="12">
        <v>54</v>
      </c>
      <c r="AB132" s="12">
        <v>56</v>
      </c>
      <c r="AC132" s="12">
        <v>59</v>
      </c>
      <c r="AD132" s="12">
        <v>47</v>
      </c>
      <c r="AE132" s="12">
        <v>52</v>
      </c>
      <c r="AF132" s="12">
        <v>54</v>
      </c>
      <c r="AG132" s="12">
        <v>54</v>
      </c>
      <c r="AH132" s="14">
        <v>54</v>
      </c>
      <c r="AI132" s="221">
        <f t="shared" si="6"/>
        <v>1637</v>
      </c>
      <c r="AJ132" s="417"/>
    </row>
    <row r="133" spans="1:36" ht="15.6" x14ac:dyDescent="0.3">
      <c r="B133" s="414"/>
      <c r="C133" s="253">
        <v>45323</v>
      </c>
      <c r="D133" s="191">
        <v>57</v>
      </c>
      <c r="E133" s="12">
        <v>59</v>
      </c>
      <c r="F133" s="12">
        <v>47</v>
      </c>
      <c r="G133" s="12">
        <v>52</v>
      </c>
      <c r="H133" s="12">
        <v>56</v>
      </c>
      <c r="I133" s="12">
        <v>56</v>
      </c>
      <c r="J133" s="12">
        <v>56</v>
      </c>
      <c r="K133" s="12">
        <v>56</v>
      </c>
      <c r="L133" s="12">
        <v>43</v>
      </c>
      <c r="M133" s="12">
        <v>47</v>
      </c>
      <c r="N133" s="12">
        <v>51</v>
      </c>
      <c r="O133" s="12">
        <v>56</v>
      </c>
      <c r="P133" s="12">
        <v>57</v>
      </c>
      <c r="Q133" s="12">
        <v>56</v>
      </c>
      <c r="R133" s="12">
        <v>56</v>
      </c>
      <c r="S133" s="12">
        <v>59</v>
      </c>
      <c r="T133" s="12">
        <v>47</v>
      </c>
      <c r="U133" s="12">
        <v>51</v>
      </c>
      <c r="V133" s="12">
        <v>56</v>
      </c>
      <c r="W133" s="12">
        <v>56</v>
      </c>
      <c r="X133" s="12">
        <v>56</v>
      </c>
      <c r="Y133" s="12">
        <v>56</v>
      </c>
      <c r="Z133" s="12">
        <v>59</v>
      </c>
      <c r="AA133" s="12">
        <v>47</v>
      </c>
      <c r="AB133" s="12">
        <v>51</v>
      </c>
      <c r="AC133" s="12">
        <v>56</v>
      </c>
      <c r="AD133" s="12">
        <v>57</v>
      </c>
      <c r="AE133" s="12">
        <v>56</v>
      </c>
      <c r="AF133" s="12">
        <v>56</v>
      </c>
      <c r="AG133" s="189"/>
      <c r="AH133" s="216"/>
      <c r="AI133" s="221">
        <f t="shared" si="6"/>
        <v>1568</v>
      </c>
      <c r="AJ133" s="417"/>
    </row>
    <row r="134" spans="1:36" ht="15.6" x14ac:dyDescent="0.3">
      <c r="B134" s="414"/>
      <c r="C134" s="253">
        <v>45352</v>
      </c>
      <c r="D134" s="191">
        <v>59</v>
      </c>
      <c r="E134" s="12">
        <v>47</v>
      </c>
      <c r="F134" s="12">
        <v>51</v>
      </c>
      <c r="G134" s="12">
        <v>56</v>
      </c>
      <c r="H134" s="12">
        <v>58</v>
      </c>
      <c r="I134" s="12">
        <v>56</v>
      </c>
      <c r="J134" s="12">
        <v>56</v>
      </c>
      <c r="K134" s="12">
        <v>59</v>
      </c>
      <c r="L134" s="12">
        <v>47</v>
      </c>
      <c r="M134" s="12">
        <v>51</v>
      </c>
      <c r="N134" s="12">
        <v>56</v>
      </c>
      <c r="O134" s="12">
        <v>56</v>
      </c>
      <c r="P134" s="12">
        <v>56</v>
      </c>
      <c r="Q134" s="12">
        <v>56</v>
      </c>
      <c r="R134" s="12">
        <v>59</v>
      </c>
      <c r="S134" s="12">
        <v>45</v>
      </c>
      <c r="T134" s="12">
        <v>49</v>
      </c>
      <c r="U134" s="12">
        <v>56</v>
      </c>
      <c r="V134" s="12">
        <v>52</v>
      </c>
      <c r="W134" s="12">
        <v>56</v>
      </c>
      <c r="X134" s="12">
        <v>56</v>
      </c>
      <c r="Y134" s="12">
        <v>61</v>
      </c>
      <c r="Z134" s="12">
        <v>49</v>
      </c>
      <c r="AA134" s="12">
        <v>53</v>
      </c>
      <c r="AB134" s="12">
        <v>56</v>
      </c>
      <c r="AC134" s="12">
        <v>56</v>
      </c>
      <c r="AD134" s="12">
        <v>57</v>
      </c>
      <c r="AE134" s="12">
        <v>60</v>
      </c>
      <c r="AF134" s="12">
        <v>52</v>
      </c>
      <c r="AG134" s="12">
        <v>49</v>
      </c>
      <c r="AH134" s="14">
        <v>53</v>
      </c>
      <c r="AI134" s="221">
        <f t="shared" si="6"/>
        <v>1683</v>
      </c>
      <c r="AJ134" s="417"/>
    </row>
    <row r="135" spans="1:36" ht="15.6" x14ac:dyDescent="0.3">
      <c r="B135" s="414"/>
      <c r="C135" s="253">
        <v>45383</v>
      </c>
      <c r="D135" s="191">
        <v>56</v>
      </c>
      <c r="E135" s="12">
        <v>56</v>
      </c>
      <c r="F135" s="12">
        <v>56</v>
      </c>
      <c r="G135" s="12">
        <v>56</v>
      </c>
      <c r="H135" s="12">
        <v>57</v>
      </c>
      <c r="I135" s="12">
        <v>47</v>
      </c>
      <c r="J135" s="12">
        <v>51</v>
      </c>
      <c r="K135" s="12">
        <v>49</v>
      </c>
      <c r="L135" s="12">
        <v>49</v>
      </c>
      <c r="M135" s="12">
        <v>50</v>
      </c>
      <c r="N135" s="12">
        <v>49</v>
      </c>
      <c r="O135" s="12">
        <v>51</v>
      </c>
      <c r="P135" s="12">
        <v>48</v>
      </c>
      <c r="Q135" s="12">
        <v>49</v>
      </c>
      <c r="R135" s="12">
        <v>49</v>
      </c>
      <c r="S135" s="12">
        <v>49</v>
      </c>
      <c r="T135" s="12">
        <v>49</v>
      </c>
      <c r="U135" s="12">
        <v>52</v>
      </c>
      <c r="V135" s="12">
        <v>55</v>
      </c>
      <c r="W135" s="12">
        <v>47</v>
      </c>
      <c r="X135" s="12">
        <v>48</v>
      </c>
      <c r="Y135" s="12">
        <v>53</v>
      </c>
      <c r="Z135" s="12">
        <v>53</v>
      </c>
      <c r="AA135" s="12">
        <v>54</v>
      </c>
      <c r="AB135" s="12">
        <v>54</v>
      </c>
      <c r="AC135" s="12">
        <v>55</v>
      </c>
      <c r="AD135" s="12">
        <v>46</v>
      </c>
      <c r="AE135" s="12">
        <v>47</v>
      </c>
      <c r="AF135" s="12">
        <v>53</v>
      </c>
      <c r="AG135" s="12">
        <v>53</v>
      </c>
      <c r="AH135" s="216"/>
      <c r="AI135" s="221">
        <f t="shared" si="6"/>
        <v>1541</v>
      </c>
      <c r="AJ135" s="417"/>
    </row>
    <row r="136" spans="1:36" ht="16.2" thickBot="1" x14ac:dyDescent="0.35">
      <c r="B136" s="415"/>
      <c r="C136" s="256">
        <v>45413</v>
      </c>
      <c r="D136" s="193">
        <v>49</v>
      </c>
      <c r="E136" s="34">
        <v>51</v>
      </c>
      <c r="F136" s="34">
        <v>54</v>
      </c>
      <c r="G136" s="34">
        <v>46</v>
      </c>
      <c r="H136" s="34">
        <v>47</v>
      </c>
      <c r="I136" s="34">
        <v>53</v>
      </c>
      <c r="J136" s="34">
        <v>53</v>
      </c>
      <c r="K136" s="34">
        <v>53</v>
      </c>
      <c r="L136" s="34">
        <v>53</v>
      </c>
      <c r="M136" s="34">
        <v>55</v>
      </c>
      <c r="N136" s="34">
        <v>46</v>
      </c>
      <c r="O136" s="34">
        <v>47</v>
      </c>
      <c r="P136" s="34">
        <v>56</v>
      </c>
      <c r="Q136" s="34">
        <v>53</v>
      </c>
      <c r="R136" s="34">
        <v>53</v>
      </c>
      <c r="S136" s="34">
        <v>53</v>
      </c>
      <c r="T136" s="34">
        <v>55</v>
      </c>
      <c r="U136" s="34">
        <v>46</v>
      </c>
      <c r="V136" s="34">
        <v>47</v>
      </c>
      <c r="W136" s="34">
        <v>53</v>
      </c>
      <c r="X136" s="34">
        <v>53</v>
      </c>
      <c r="Y136" s="34">
        <v>53</v>
      </c>
      <c r="Z136" s="34">
        <v>53</v>
      </c>
      <c r="AA136" s="34">
        <v>55</v>
      </c>
      <c r="AB136" s="34">
        <v>46</v>
      </c>
      <c r="AC136" s="34">
        <v>47</v>
      </c>
      <c r="AD136" s="34">
        <v>53</v>
      </c>
      <c r="AE136" s="34">
        <v>53</v>
      </c>
      <c r="AF136" s="34">
        <v>53</v>
      </c>
      <c r="AG136" s="34">
        <v>53</v>
      </c>
      <c r="AH136" s="35">
        <v>55</v>
      </c>
      <c r="AI136" s="223">
        <f t="shared" si="6"/>
        <v>1597</v>
      </c>
      <c r="AJ136" s="417"/>
    </row>
    <row r="137" spans="1:36" ht="15.6" x14ac:dyDescent="0.3">
      <c r="B137" s="413">
        <v>12</v>
      </c>
      <c r="C137" s="258">
        <v>45444</v>
      </c>
      <c r="D137" s="194">
        <v>44</v>
      </c>
      <c r="E137" s="185">
        <v>47</v>
      </c>
      <c r="F137" s="186">
        <v>55</v>
      </c>
      <c r="G137" s="185">
        <v>55</v>
      </c>
      <c r="H137" s="185">
        <v>55</v>
      </c>
      <c r="I137" s="185">
        <v>55</v>
      </c>
      <c r="J137" s="185">
        <v>55</v>
      </c>
      <c r="K137" s="185">
        <v>46</v>
      </c>
      <c r="L137" s="185">
        <v>47</v>
      </c>
      <c r="M137" s="185">
        <v>55</v>
      </c>
      <c r="N137" s="185">
        <v>55</v>
      </c>
      <c r="O137" s="185">
        <v>55</v>
      </c>
      <c r="P137" s="185">
        <v>55</v>
      </c>
      <c r="Q137" s="185">
        <v>55</v>
      </c>
      <c r="R137" s="185">
        <v>46</v>
      </c>
      <c r="S137" s="185">
        <v>48</v>
      </c>
      <c r="T137" s="185">
        <v>55</v>
      </c>
      <c r="U137" s="185">
        <v>54</v>
      </c>
      <c r="V137" s="185">
        <v>55</v>
      </c>
      <c r="W137" s="185">
        <v>55</v>
      </c>
      <c r="X137" s="185">
        <v>55</v>
      </c>
      <c r="Y137" s="185">
        <v>46</v>
      </c>
      <c r="Z137" s="185">
        <v>48</v>
      </c>
      <c r="AA137" s="185">
        <v>56</v>
      </c>
      <c r="AB137" s="185">
        <v>56</v>
      </c>
      <c r="AC137" s="185">
        <v>56</v>
      </c>
      <c r="AD137" s="185">
        <v>56</v>
      </c>
      <c r="AE137" s="185">
        <v>57</v>
      </c>
      <c r="AF137" s="185">
        <v>46</v>
      </c>
      <c r="AG137" s="185">
        <v>50</v>
      </c>
      <c r="AH137" s="225"/>
      <c r="AI137" s="249">
        <f t="shared" si="6"/>
        <v>1573</v>
      </c>
      <c r="AJ137" s="416">
        <f>SUM(AI137:AI148)</f>
        <v>20176</v>
      </c>
    </row>
    <row r="138" spans="1:36" ht="15.6" x14ac:dyDescent="0.3">
      <c r="B138" s="414"/>
      <c r="C138" s="259">
        <v>45474</v>
      </c>
      <c r="D138" s="226">
        <v>56</v>
      </c>
      <c r="E138" s="224">
        <v>56</v>
      </c>
      <c r="F138" s="224">
        <v>56</v>
      </c>
      <c r="G138" s="224">
        <v>56</v>
      </c>
      <c r="H138" s="224">
        <v>58</v>
      </c>
      <c r="I138" s="224">
        <v>46</v>
      </c>
      <c r="J138" s="224">
        <v>50</v>
      </c>
      <c r="K138" s="224">
        <v>56</v>
      </c>
      <c r="L138" s="224">
        <v>56</v>
      </c>
      <c r="M138" s="224">
        <v>56</v>
      </c>
      <c r="N138" s="224">
        <v>56</v>
      </c>
      <c r="O138" s="224">
        <v>57</v>
      </c>
      <c r="P138" s="224">
        <v>46</v>
      </c>
      <c r="Q138" s="224">
        <v>50</v>
      </c>
      <c r="R138" s="224">
        <v>56</v>
      </c>
      <c r="S138" s="224">
        <v>56</v>
      </c>
      <c r="T138" s="224">
        <v>57</v>
      </c>
      <c r="U138" s="224">
        <v>56</v>
      </c>
      <c r="V138" s="224">
        <v>57</v>
      </c>
      <c r="W138" s="224">
        <v>46</v>
      </c>
      <c r="X138" s="224">
        <v>50</v>
      </c>
      <c r="Y138" s="224">
        <v>56</v>
      </c>
      <c r="Z138" s="224">
        <v>58</v>
      </c>
      <c r="AA138" s="224">
        <v>58</v>
      </c>
      <c r="AB138" s="224">
        <v>58</v>
      </c>
      <c r="AC138" s="224">
        <v>59</v>
      </c>
      <c r="AD138" s="224">
        <v>47</v>
      </c>
      <c r="AE138" s="224">
        <v>52</v>
      </c>
      <c r="AF138" s="224">
        <v>58</v>
      </c>
      <c r="AG138" s="224">
        <v>59</v>
      </c>
      <c r="AH138" s="227">
        <v>58</v>
      </c>
      <c r="AI138" s="228">
        <f t="shared" si="6"/>
        <v>1696</v>
      </c>
      <c r="AJ138" s="417"/>
    </row>
    <row r="139" spans="1:36" ht="15.6" x14ac:dyDescent="0.3">
      <c r="B139" s="414"/>
      <c r="C139" s="263">
        <v>45505</v>
      </c>
      <c r="D139" s="260">
        <v>58</v>
      </c>
      <c r="E139" s="261">
        <v>61</v>
      </c>
      <c r="F139" s="261">
        <v>51</v>
      </c>
      <c r="G139" s="261">
        <v>56</v>
      </c>
      <c r="H139" s="261">
        <v>64</v>
      </c>
      <c r="I139" s="261">
        <v>64</v>
      </c>
      <c r="J139" s="261">
        <v>60</v>
      </c>
      <c r="K139" s="261">
        <v>58</v>
      </c>
      <c r="L139" s="261">
        <v>61</v>
      </c>
      <c r="M139" s="261">
        <v>51</v>
      </c>
      <c r="N139" s="261">
        <v>56</v>
      </c>
      <c r="O139" s="261">
        <v>58</v>
      </c>
      <c r="P139" s="261">
        <v>58</v>
      </c>
      <c r="Q139" s="261">
        <v>61</v>
      </c>
      <c r="R139" s="261">
        <v>52</v>
      </c>
      <c r="S139" s="261">
        <v>58</v>
      </c>
      <c r="T139" s="261">
        <v>51</v>
      </c>
      <c r="U139" s="261">
        <v>56</v>
      </c>
      <c r="V139" s="261">
        <v>58</v>
      </c>
      <c r="W139" s="261">
        <v>58</v>
      </c>
      <c r="X139" s="261">
        <v>58</v>
      </c>
      <c r="Y139" s="261">
        <v>58</v>
      </c>
      <c r="Z139" s="261">
        <v>61</v>
      </c>
      <c r="AA139" s="261">
        <v>51</v>
      </c>
      <c r="AB139" s="261">
        <v>56</v>
      </c>
      <c r="AC139" s="261">
        <v>58</v>
      </c>
      <c r="AD139" s="261">
        <v>58</v>
      </c>
      <c r="AE139" s="261">
        <v>58</v>
      </c>
      <c r="AF139" s="261">
        <v>58</v>
      </c>
      <c r="AG139" s="261">
        <v>61</v>
      </c>
      <c r="AH139" s="262">
        <v>51</v>
      </c>
      <c r="AI139" s="230">
        <v>1778</v>
      </c>
      <c r="AJ139" s="418"/>
    </row>
    <row r="140" spans="1:36" ht="15.6" x14ac:dyDescent="0.3">
      <c r="B140" s="414"/>
      <c r="C140" s="263">
        <v>45536</v>
      </c>
      <c r="D140" s="260">
        <v>57</v>
      </c>
      <c r="E140" s="261">
        <v>59</v>
      </c>
      <c r="F140" s="261">
        <v>58</v>
      </c>
      <c r="G140" s="261">
        <v>60</v>
      </c>
      <c r="H140" s="261">
        <v>62</v>
      </c>
      <c r="I140" s="261">
        <v>63</v>
      </c>
      <c r="J140" s="261">
        <v>51</v>
      </c>
      <c r="K140" s="261">
        <v>56</v>
      </c>
      <c r="L140" s="261">
        <v>62</v>
      </c>
      <c r="M140" s="261">
        <v>62</v>
      </c>
      <c r="N140" s="261">
        <v>62</v>
      </c>
      <c r="O140" s="261">
        <v>62</v>
      </c>
      <c r="P140" s="261">
        <v>63</v>
      </c>
      <c r="Q140" s="261">
        <v>51</v>
      </c>
      <c r="R140" s="261">
        <v>54</v>
      </c>
      <c r="S140" s="261">
        <v>58</v>
      </c>
      <c r="T140" s="261">
        <v>56</v>
      </c>
      <c r="U140" s="261">
        <v>56</v>
      </c>
      <c r="V140" s="261">
        <v>56</v>
      </c>
      <c r="W140" s="261">
        <v>60</v>
      </c>
      <c r="X140" s="261">
        <v>49</v>
      </c>
      <c r="Y140" s="261">
        <v>54</v>
      </c>
      <c r="Z140" s="261">
        <v>60</v>
      </c>
      <c r="AA140" s="261">
        <v>53</v>
      </c>
      <c r="AB140" s="261">
        <v>53</v>
      </c>
      <c r="AC140" s="261">
        <v>56</v>
      </c>
      <c r="AD140" s="261">
        <v>61</v>
      </c>
      <c r="AE140" s="261">
        <v>49</v>
      </c>
      <c r="AF140" s="261">
        <v>54</v>
      </c>
      <c r="AG140" s="261">
        <v>60</v>
      </c>
      <c r="AH140" s="264"/>
      <c r="AI140" s="230">
        <v>1717</v>
      </c>
      <c r="AJ140" s="418"/>
    </row>
    <row r="141" spans="1:36" ht="15.6" x14ac:dyDescent="0.3">
      <c r="B141" s="414"/>
      <c r="C141" s="263">
        <v>45566</v>
      </c>
      <c r="D141" s="260">
        <v>53</v>
      </c>
      <c r="E141" s="261">
        <v>54</v>
      </c>
      <c r="F141" s="261">
        <v>56</v>
      </c>
      <c r="G141" s="261">
        <v>61</v>
      </c>
      <c r="H141" s="261">
        <v>51</v>
      </c>
      <c r="I141" s="261">
        <v>53</v>
      </c>
      <c r="J141" s="261">
        <v>57</v>
      </c>
      <c r="K141" s="261">
        <v>53</v>
      </c>
      <c r="L141" s="261">
        <v>53</v>
      </c>
      <c r="M141" s="261">
        <v>55</v>
      </c>
      <c r="N141" s="261">
        <v>61</v>
      </c>
      <c r="O141" s="261">
        <v>52</v>
      </c>
      <c r="P141" s="261">
        <v>52</v>
      </c>
      <c r="Q141" s="261">
        <v>57</v>
      </c>
      <c r="R141" s="261">
        <v>53</v>
      </c>
      <c r="S141" s="261">
        <v>55</v>
      </c>
      <c r="T141" s="261">
        <v>56</v>
      </c>
      <c r="U141" s="261">
        <v>61</v>
      </c>
      <c r="V141" s="261">
        <v>47</v>
      </c>
      <c r="W141" s="261">
        <v>42</v>
      </c>
      <c r="X141" s="261">
        <v>55</v>
      </c>
      <c r="Y141" s="261">
        <v>53</v>
      </c>
      <c r="Z141" s="261">
        <v>54</v>
      </c>
      <c r="AA141" s="261">
        <v>57</v>
      </c>
      <c r="AB141" s="261">
        <v>61</v>
      </c>
      <c r="AC141" s="261">
        <v>51</v>
      </c>
      <c r="AD141" s="261">
        <v>53</v>
      </c>
      <c r="AE141" s="261">
        <v>57</v>
      </c>
      <c r="AF141" s="261">
        <v>54</v>
      </c>
      <c r="AG141" s="261">
        <v>54</v>
      </c>
      <c r="AH141" s="264">
        <v>59</v>
      </c>
      <c r="AI141" s="230">
        <v>1631</v>
      </c>
      <c r="AJ141" s="418"/>
    </row>
    <row r="142" spans="1:36" ht="15.6" x14ac:dyDescent="0.3">
      <c r="A142" s="231"/>
      <c r="B142" s="414"/>
      <c r="C142" s="263">
        <v>45597</v>
      </c>
      <c r="D142" s="260">
        <v>52</v>
      </c>
      <c r="E142" s="261">
        <v>51</v>
      </c>
      <c r="F142" s="261">
        <v>53</v>
      </c>
      <c r="G142" s="261">
        <v>57</v>
      </c>
      <c r="H142" s="261">
        <v>53</v>
      </c>
      <c r="I142" s="261">
        <v>54</v>
      </c>
      <c r="J142" s="261">
        <v>56</v>
      </c>
      <c r="K142" s="261">
        <v>61</v>
      </c>
      <c r="L142" s="261">
        <v>51</v>
      </c>
      <c r="M142" s="261">
        <v>51</v>
      </c>
      <c r="N142" s="261">
        <v>57</v>
      </c>
      <c r="O142" s="261">
        <v>53</v>
      </c>
      <c r="P142" s="261">
        <v>54</v>
      </c>
      <c r="Q142" s="261">
        <v>56</v>
      </c>
      <c r="R142" s="261">
        <v>61</v>
      </c>
      <c r="S142" s="261">
        <v>51</v>
      </c>
      <c r="T142" s="261">
        <v>53</v>
      </c>
      <c r="U142" s="261">
        <v>57</v>
      </c>
      <c r="V142" s="261">
        <v>53</v>
      </c>
      <c r="W142" s="261">
        <v>54</v>
      </c>
      <c r="X142" s="261">
        <v>56</v>
      </c>
      <c r="Y142" s="261">
        <v>61</v>
      </c>
      <c r="Z142" s="261">
        <v>51</v>
      </c>
      <c r="AA142" s="261">
        <v>53</v>
      </c>
      <c r="AB142" s="261">
        <v>57</v>
      </c>
      <c r="AC142" s="261">
        <v>53</v>
      </c>
      <c r="AD142" s="261">
        <v>54</v>
      </c>
      <c r="AE142" s="261">
        <v>56</v>
      </c>
      <c r="AF142" s="261">
        <v>61</v>
      </c>
      <c r="AG142" s="261">
        <v>51</v>
      </c>
      <c r="AH142" s="264"/>
      <c r="AI142" s="230">
        <v>1641</v>
      </c>
      <c r="AJ142" s="418"/>
    </row>
    <row r="143" spans="1:36" ht="15.6" x14ac:dyDescent="0.3">
      <c r="B143" s="414"/>
      <c r="C143" s="263">
        <v>45627</v>
      </c>
      <c r="D143" s="265">
        <v>53</v>
      </c>
      <c r="E143" s="266">
        <v>58</v>
      </c>
      <c r="F143" s="266">
        <v>53</v>
      </c>
      <c r="G143" s="266">
        <v>54</v>
      </c>
      <c r="H143" s="266">
        <v>61</v>
      </c>
      <c r="I143" s="266">
        <v>52</v>
      </c>
      <c r="J143" s="266">
        <v>51</v>
      </c>
      <c r="K143" s="266">
        <v>53</v>
      </c>
      <c r="L143" s="266">
        <v>58</v>
      </c>
      <c r="M143" s="266">
        <v>56</v>
      </c>
      <c r="N143" s="266">
        <v>54</v>
      </c>
      <c r="O143" s="266">
        <v>56</v>
      </c>
      <c r="P143" s="266">
        <v>61</v>
      </c>
      <c r="Q143" s="266">
        <v>51</v>
      </c>
      <c r="R143" s="266">
        <v>55</v>
      </c>
      <c r="S143" s="266">
        <v>59</v>
      </c>
      <c r="T143" s="266">
        <v>55</v>
      </c>
      <c r="U143" s="266">
        <v>56</v>
      </c>
      <c r="V143" s="266">
        <v>60</v>
      </c>
      <c r="W143" s="266">
        <v>63</v>
      </c>
      <c r="X143" s="266">
        <v>52</v>
      </c>
      <c r="Y143" s="266">
        <v>55</v>
      </c>
      <c r="Z143" s="266">
        <v>60</v>
      </c>
      <c r="AA143" s="266">
        <v>54</v>
      </c>
      <c r="AB143" s="266">
        <v>46</v>
      </c>
      <c r="AC143" s="266">
        <v>60</v>
      </c>
      <c r="AD143" s="266">
        <v>62</v>
      </c>
      <c r="AE143" s="266">
        <v>51</v>
      </c>
      <c r="AF143" s="266">
        <v>55</v>
      </c>
      <c r="AG143" s="266">
        <v>59</v>
      </c>
      <c r="AH143" s="264">
        <v>54</v>
      </c>
      <c r="AI143" s="230">
        <f>SUM(TablaHistórico[[#This Row],[1]:[31]])</f>
        <v>1727</v>
      </c>
      <c r="AJ143" s="417"/>
    </row>
    <row r="144" spans="1:36" ht="15.6" x14ac:dyDescent="0.3">
      <c r="B144" s="414"/>
      <c r="C144" s="263">
        <v>45658</v>
      </c>
      <c r="D144" s="260">
        <v>45</v>
      </c>
      <c r="E144" s="261">
        <v>59</v>
      </c>
      <c r="F144" s="261">
        <v>61</v>
      </c>
      <c r="G144" s="261">
        <v>51</v>
      </c>
      <c r="H144" s="261">
        <v>50</v>
      </c>
      <c r="I144" s="261">
        <v>51</v>
      </c>
      <c r="J144" s="261">
        <v>55</v>
      </c>
      <c r="K144" s="261">
        <v>53</v>
      </c>
      <c r="L144" s="261">
        <v>53</v>
      </c>
      <c r="M144" s="261">
        <v>56</v>
      </c>
      <c r="N144" s="261">
        <v>52</v>
      </c>
      <c r="O144" s="261">
        <v>52</v>
      </c>
      <c r="P144" s="261">
        <v>55</v>
      </c>
      <c r="Q144" s="261">
        <v>53</v>
      </c>
      <c r="R144" s="261">
        <v>53</v>
      </c>
      <c r="S144" s="261">
        <v>54</v>
      </c>
      <c r="T144" s="261">
        <v>61</v>
      </c>
      <c r="U144" s="261">
        <v>51</v>
      </c>
      <c r="V144" s="261">
        <v>53</v>
      </c>
      <c r="W144" s="261">
        <v>55</v>
      </c>
      <c r="X144" s="261">
        <v>53</v>
      </c>
      <c r="Y144" s="261">
        <v>54</v>
      </c>
      <c r="Z144" s="261">
        <v>54</v>
      </c>
      <c r="AA144" s="261">
        <v>61</v>
      </c>
      <c r="AB144" s="261">
        <v>51</v>
      </c>
      <c r="AC144" s="261">
        <v>53</v>
      </c>
      <c r="AD144" s="261">
        <v>55</v>
      </c>
      <c r="AE144" s="261">
        <v>53</v>
      </c>
      <c r="AF144" s="261">
        <v>54</v>
      </c>
      <c r="AG144" s="261">
        <v>54</v>
      </c>
      <c r="AH144" s="262">
        <v>61</v>
      </c>
      <c r="AI144" s="230">
        <v>1676</v>
      </c>
      <c r="AJ144" s="417"/>
    </row>
    <row r="145" spans="2:36" ht="15.6" x14ac:dyDescent="0.3">
      <c r="B145" s="414"/>
      <c r="C145" s="263">
        <v>45689</v>
      </c>
      <c r="D145" s="260">
        <v>51</v>
      </c>
      <c r="E145" s="261">
        <v>53</v>
      </c>
      <c r="F145" s="261">
        <v>57</v>
      </c>
      <c r="G145" s="261">
        <v>54</v>
      </c>
      <c r="H145" s="261">
        <v>54</v>
      </c>
      <c r="I145" s="261">
        <v>56</v>
      </c>
      <c r="J145" s="261">
        <v>62</v>
      </c>
      <c r="K145" s="261">
        <v>51</v>
      </c>
      <c r="L145" s="261">
        <v>53</v>
      </c>
      <c r="M145" s="261">
        <v>57</v>
      </c>
      <c r="N145" s="261">
        <v>53</v>
      </c>
      <c r="O145" s="261">
        <v>54</v>
      </c>
      <c r="P145" s="261">
        <v>56</v>
      </c>
      <c r="Q145" s="261">
        <v>62</v>
      </c>
      <c r="R145" s="261">
        <v>51</v>
      </c>
      <c r="S145" s="261">
        <v>53</v>
      </c>
      <c r="T145" s="261">
        <v>57</v>
      </c>
      <c r="U145" s="261">
        <v>53</v>
      </c>
      <c r="V145" s="261">
        <v>54</v>
      </c>
      <c r="W145" s="261">
        <v>56</v>
      </c>
      <c r="X145" s="261">
        <v>62</v>
      </c>
      <c r="Y145" s="261">
        <v>51</v>
      </c>
      <c r="Z145" s="261">
        <v>53</v>
      </c>
      <c r="AA145" s="261">
        <v>57</v>
      </c>
      <c r="AB145" s="261">
        <v>53</v>
      </c>
      <c r="AC145" s="261">
        <v>54</v>
      </c>
      <c r="AD145" s="261">
        <v>58</v>
      </c>
      <c r="AE145" s="261">
        <v>62</v>
      </c>
      <c r="AF145" s="266"/>
      <c r="AG145" s="266"/>
      <c r="AH145" s="264"/>
      <c r="AI145" s="230">
        <f>SUM(TablaHistórico[[#This Row],[1]:[31]])</f>
        <v>1547</v>
      </c>
      <c r="AJ145" s="417"/>
    </row>
    <row r="146" spans="2:36" ht="15.6" x14ac:dyDescent="0.3">
      <c r="B146" s="414"/>
      <c r="C146" s="263">
        <v>45717</v>
      </c>
      <c r="D146" s="267">
        <v>51</v>
      </c>
      <c r="E146" s="268">
        <v>53</v>
      </c>
      <c r="F146" s="268">
        <v>58</v>
      </c>
      <c r="G146" s="268">
        <v>55</v>
      </c>
      <c r="H146" s="268">
        <v>56</v>
      </c>
      <c r="I146" s="268">
        <v>60</v>
      </c>
      <c r="J146" s="268">
        <v>63</v>
      </c>
      <c r="K146" s="268">
        <v>51</v>
      </c>
      <c r="L146" s="268">
        <v>53</v>
      </c>
      <c r="M146" s="268">
        <v>58</v>
      </c>
      <c r="N146" s="268">
        <v>54</v>
      </c>
      <c r="O146" s="268">
        <v>56</v>
      </c>
      <c r="P146" s="268">
        <v>60</v>
      </c>
      <c r="Q146" s="268">
        <v>63</v>
      </c>
      <c r="R146" s="268">
        <v>51</v>
      </c>
      <c r="S146" s="268">
        <v>53</v>
      </c>
      <c r="T146" s="268">
        <v>56</v>
      </c>
      <c r="U146" s="268">
        <v>54</v>
      </c>
      <c r="V146" s="268">
        <v>52</v>
      </c>
      <c r="W146" s="268">
        <v>61</v>
      </c>
      <c r="X146" s="268">
        <v>63</v>
      </c>
      <c r="Y146" s="268">
        <v>51</v>
      </c>
      <c r="Z146" s="268">
        <v>53</v>
      </c>
      <c r="AA146" s="268">
        <v>58</v>
      </c>
      <c r="AB146" s="268">
        <v>54</v>
      </c>
      <c r="AC146" s="268">
        <v>55</v>
      </c>
      <c r="AD146" s="268">
        <v>60</v>
      </c>
      <c r="AE146" s="268">
        <v>63</v>
      </c>
      <c r="AF146" s="268">
        <v>51</v>
      </c>
      <c r="AG146" s="268">
        <v>53</v>
      </c>
      <c r="AH146" s="269">
        <v>60</v>
      </c>
      <c r="AI146" s="228">
        <v>1739</v>
      </c>
      <c r="AJ146" s="417"/>
    </row>
    <row r="147" spans="2:36" ht="15.6" x14ac:dyDescent="0.3">
      <c r="B147" s="414"/>
      <c r="C147" s="263">
        <v>45748</v>
      </c>
      <c r="D147" s="270">
        <v>50</v>
      </c>
      <c r="E147" s="271">
        <v>56</v>
      </c>
      <c r="F147" s="271">
        <v>60</v>
      </c>
      <c r="G147" s="271">
        <v>63</v>
      </c>
      <c r="H147" s="271">
        <v>51</v>
      </c>
      <c r="I147" s="271">
        <v>53</v>
      </c>
      <c r="J147" s="271">
        <v>58</v>
      </c>
      <c r="K147" s="271">
        <v>55</v>
      </c>
      <c r="L147" s="271">
        <v>56</v>
      </c>
      <c r="M147" s="271">
        <v>60</v>
      </c>
      <c r="N147" s="271">
        <v>65</v>
      </c>
      <c r="O147" s="271">
        <v>53</v>
      </c>
      <c r="P147" s="271">
        <v>57</v>
      </c>
      <c r="Q147" s="271">
        <v>60</v>
      </c>
      <c r="R147" s="271">
        <v>60</v>
      </c>
      <c r="S147" s="271">
        <v>60</v>
      </c>
      <c r="T147" s="271">
        <v>65</v>
      </c>
      <c r="U147" s="271">
        <v>58</v>
      </c>
      <c r="V147" s="271">
        <v>53</v>
      </c>
      <c r="W147" s="271">
        <v>57</v>
      </c>
      <c r="X147" s="271">
        <v>60</v>
      </c>
      <c r="Y147" s="271">
        <v>60</v>
      </c>
      <c r="Z147" s="271">
        <v>60</v>
      </c>
      <c r="AA147" s="271">
        <v>60</v>
      </c>
      <c r="AB147" s="271">
        <v>63</v>
      </c>
      <c r="AC147" s="271">
        <v>51</v>
      </c>
      <c r="AD147" s="271">
        <v>55</v>
      </c>
      <c r="AE147" s="271">
        <v>26</v>
      </c>
      <c r="AF147" s="271">
        <v>59</v>
      </c>
      <c r="AG147" s="271">
        <v>61</v>
      </c>
      <c r="AH147" s="262"/>
      <c r="AI147" s="228">
        <v>1705</v>
      </c>
      <c r="AJ147" s="417"/>
    </row>
    <row r="148" spans="2:36" ht="16.2" thickBot="1" x14ac:dyDescent="0.35">
      <c r="B148" s="415"/>
      <c r="C148" s="457">
        <v>45778</v>
      </c>
      <c r="D148" s="454">
        <v>56</v>
      </c>
      <c r="E148" s="455">
        <v>53</v>
      </c>
      <c r="F148" s="455">
        <v>51</v>
      </c>
      <c r="G148" s="455">
        <v>55</v>
      </c>
      <c r="H148" s="455">
        <v>59</v>
      </c>
      <c r="I148" s="455">
        <v>54</v>
      </c>
      <c r="J148" s="455">
        <v>55</v>
      </c>
      <c r="K148" s="455">
        <v>60</v>
      </c>
      <c r="L148" s="455">
        <v>63</v>
      </c>
      <c r="M148" s="455">
        <v>51</v>
      </c>
      <c r="N148" s="455">
        <v>55</v>
      </c>
      <c r="O148" s="455">
        <v>58</v>
      </c>
      <c r="P148" s="455">
        <v>54</v>
      </c>
      <c r="Q148" s="455">
        <v>54</v>
      </c>
      <c r="R148" s="455">
        <v>57</v>
      </c>
      <c r="S148" s="455">
        <v>63</v>
      </c>
      <c r="T148" s="455">
        <v>51</v>
      </c>
      <c r="U148" s="455">
        <v>55</v>
      </c>
      <c r="V148" s="455">
        <v>59</v>
      </c>
      <c r="W148" s="455">
        <v>54</v>
      </c>
      <c r="X148" s="455">
        <v>56</v>
      </c>
      <c r="Y148" s="455">
        <v>60</v>
      </c>
      <c r="Z148" s="455">
        <v>63</v>
      </c>
      <c r="AA148" s="455">
        <v>51</v>
      </c>
      <c r="AB148" s="455">
        <v>55</v>
      </c>
      <c r="AC148" s="455">
        <v>58</v>
      </c>
      <c r="AD148" s="455">
        <v>54</v>
      </c>
      <c r="AE148" s="455">
        <v>56</v>
      </c>
      <c r="AF148" s="455">
        <v>60</v>
      </c>
      <c r="AG148" s="455">
        <v>64</v>
      </c>
      <c r="AH148" s="456">
        <v>52</v>
      </c>
      <c r="AI148" s="229">
        <v>1746</v>
      </c>
      <c r="AJ148" s="419"/>
    </row>
  </sheetData>
  <mergeCells count="28">
    <mergeCell ref="B65:B76"/>
    <mergeCell ref="B77:B88"/>
    <mergeCell ref="AJ53:AJ64"/>
    <mergeCell ref="AJ29:AJ40"/>
    <mergeCell ref="AJ41:AJ52"/>
    <mergeCell ref="AJ65:AJ76"/>
    <mergeCell ref="AJ77:AJ88"/>
    <mergeCell ref="B5:B16"/>
    <mergeCell ref="B17:B28"/>
    <mergeCell ref="AJ5:AJ16"/>
    <mergeCell ref="AJ17:AJ28"/>
    <mergeCell ref="B53:B64"/>
    <mergeCell ref="B2:AJ2"/>
    <mergeCell ref="B137:B148"/>
    <mergeCell ref="AJ137:AJ148"/>
    <mergeCell ref="AJ89:AJ100"/>
    <mergeCell ref="AJ101:AJ112"/>
    <mergeCell ref="B125:B136"/>
    <mergeCell ref="AJ113:AJ124"/>
    <mergeCell ref="AJ125:AJ136"/>
    <mergeCell ref="B113:B124"/>
    <mergeCell ref="B89:B100"/>
    <mergeCell ref="B101:B112"/>
    <mergeCell ref="AJ3:AJ4"/>
    <mergeCell ref="B29:B40"/>
    <mergeCell ref="B41:B52"/>
    <mergeCell ref="C3:AI3"/>
    <mergeCell ref="B3:B4"/>
  </mergeCells>
  <conditionalFormatting sqref="D137:AH138 D5:AH127">
    <cfRule type="colorScale" priority="23">
      <colorScale>
        <cfvo type="min"/>
        <cfvo type="percentile" val="50"/>
        <cfvo type="max"/>
        <color theme="9" tint="0.39997558519241921"/>
        <color rgb="FFFFEB84"/>
        <color rgb="FFF6856E"/>
      </colorScale>
    </cfRule>
    <cfRule type="colorScale" priority="24">
      <colorScale>
        <cfvo type="min"/>
        <cfvo type="percentile" val="50"/>
        <cfvo type="max"/>
        <color rgb="FF63BE7B"/>
        <color rgb="FFFFEB84"/>
        <color rgb="FFF8696B"/>
      </colorScale>
    </cfRule>
    <cfRule type="colorScale" priority="26">
      <colorScale>
        <cfvo type="min"/>
        <cfvo type="percentile" val="50"/>
        <cfvo type="max"/>
        <color rgb="FF63BE7B"/>
        <color rgb="FFFFEB84"/>
        <color rgb="FFF8696B"/>
      </colorScale>
    </cfRule>
  </conditionalFormatting>
  <conditionalFormatting sqref="D5:AH148 AK13">
    <cfRule type="colorScale" priority="35">
      <colorScale>
        <cfvo type="min"/>
        <cfvo type="percentile" val="50"/>
        <cfvo type="max"/>
        <color rgb="FFF8696B"/>
        <color rgb="FFFFEB84"/>
        <color rgb="FF63BE7B"/>
      </colorScale>
    </cfRule>
    <cfRule type="colorScale" priority="36">
      <colorScale>
        <cfvo type="min"/>
        <cfvo type="max"/>
        <color rgb="FFFCFCFF"/>
        <color rgb="FFF8696B"/>
      </colorScale>
    </cfRule>
  </conditionalFormatting>
  <conditionalFormatting sqref="D5:AH148">
    <cfRule type="colorScale" priority="8">
      <colorScale>
        <cfvo type="min"/>
        <cfvo type="percentile" val="50"/>
        <cfvo type="max"/>
        <color rgb="FF63BE7B"/>
        <color rgb="FFFFEB84"/>
        <color rgb="FFF8696B"/>
      </colorScale>
    </cfRule>
  </conditionalFormatting>
  <conditionalFormatting sqref="AI5:AI148">
    <cfRule type="colorScale" priority="32">
      <colorScale>
        <cfvo type="min"/>
        <cfvo type="percentile" val="50"/>
        <cfvo type="max"/>
        <color rgb="FF63BE7B"/>
        <color rgb="FFFFEB84"/>
        <color rgb="FFF8696B"/>
      </colorScale>
    </cfRule>
  </conditionalFormatting>
  <conditionalFormatting sqref="D139:AH148">
    <cfRule type="colorScale" priority="10">
      <colorScale>
        <cfvo type="min"/>
        <cfvo type="percentile" val="50"/>
        <cfvo type="max"/>
        <color theme="9" tint="0.39997558519241921"/>
        <color rgb="FFFFEB84"/>
        <color rgb="FFF6856E"/>
      </colorScale>
    </cfRule>
    <cfRule type="colorScale" priority="11">
      <colorScale>
        <cfvo type="min"/>
        <cfvo type="percentile" val="50"/>
        <cfvo type="max"/>
        <color rgb="FF63BE7B"/>
        <color rgb="FFFFEB84"/>
        <color rgb="FFF8696B"/>
      </colorScale>
    </cfRule>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landscape" horizontalDpi="300" verticalDpi="300" r:id="rId1"/>
  <ignoredErrors>
    <ignoredError sqref="AI5:AI136 AI138 AI137" formulaRange="1"/>
  </ignoredErrors>
  <drawing r:id="rId2"/>
  <legacyDrawing r:id="rId3"/>
  <tableParts count="1">
    <tablePart r:id="rId4"/>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DE2CC-6398-4D59-961A-12A2B937A694}">
  <sheetPr codeName="Hoja6">
    <pageSetUpPr fitToPage="1"/>
  </sheetPr>
  <dimension ref="B1:AW42"/>
  <sheetViews>
    <sheetView topLeftCell="A23" zoomScale="70" zoomScaleNormal="70" workbookViewId="0">
      <selection activeCell="D8" sqref="D8:D38"/>
    </sheetView>
  </sheetViews>
  <sheetFormatPr baseColWidth="10" defaultColWidth="11.44140625" defaultRowHeight="13.2" x14ac:dyDescent="0.25"/>
  <cols>
    <col min="1" max="1" width="2.21875" style="38" customWidth="1"/>
    <col min="2" max="2" width="8.77734375" style="37" bestFit="1" customWidth="1"/>
    <col min="3" max="3" width="21.77734375" style="38" customWidth="1"/>
    <col min="4" max="4" width="18.21875" style="38" customWidth="1"/>
    <col min="5" max="5" width="20.21875" style="38" customWidth="1"/>
    <col min="6" max="7" width="12.77734375" style="38" customWidth="1"/>
    <col min="8" max="8" width="10.44140625" style="38" bestFit="1" customWidth="1"/>
    <col min="9" max="9" width="12.77734375" style="38" customWidth="1"/>
    <col min="10" max="10" width="5.5546875" style="38" customWidth="1"/>
    <col min="11" max="11" width="6.21875" style="38" customWidth="1"/>
    <col min="12" max="12" width="4" style="38" customWidth="1"/>
    <col min="13" max="13" width="6.21875" style="38" customWidth="1"/>
    <col min="14" max="14" width="5" style="38" customWidth="1"/>
    <col min="15" max="15" width="5.77734375" style="38" customWidth="1"/>
    <col min="16" max="16" width="5" style="38" customWidth="1"/>
    <col min="17" max="35" width="3.77734375" style="38" customWidth="1"/>
    <col min="36" max="36" width="4.77734375" style="38" bestFit="1" customWidth="1"/>
    <col min="37" max="37" width="3.77734375" style="38" customWidth="1"/>
    <col min="38" max="46" width="4.77734375" style="38" bestFit="1" customWidth="1"/>
    <col min="47" max="47" width="3.77734375" style="38" customWidth="1"/>
    <col min="48" max="48" width="7.77734375" style="38" customWidth="1"/>
    <col min="49" max="16384" width="11.44140625" style="38"/>
  </cols>
  <sheetData>
    <row r="1" spans="2:48" ht="11.25" customHeight="1" thickBot="1" x14ac:dyDescent="0.3"/>
    <row r="2" spans="2:48" ht="72" customHeight="1" thickBot="1" x14ac:dyDescent="0.3">
      <c r="B2" s="424" t="s">
        <v>88</v>
      </c>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c r="AD2" s="425"/>
      <c r="AE2" s="425"/>
      <c r="AF2" s="425"/>
      <c r="AG2" s="425"/>
      <c r="AH2" s="425"/>
      <c r="AI2" s="425"/>
      <c r="AJ2" s="425"/>
      <c r="AK2" s="425"/>
      <c r="AL2" s="425"/>
      <c r="AM2" s="425"/>
      <c r="AN2" s="425"/>
      <c r="AO2" s="425"/>
      <c r="AP2" s="426"/>
      <c r="AQ2" s="40"/>
      <c r="AR2" s="40"/>
      <c r="AS2" s="40"/>
      <c r="AT2" s="40"/>
      <c r="AU2" s="40"/>
      <c r="AV2" s="40"/>
    </row>
    <row r="3" spans="2:48" ht="24" customHeight="1" thickBot="1" x14ac:dyDescent="0.3">
      <c r="B3" s="427">
        <v>44958</v>
      </c>
      <c r="C3" s="428"/>
      <c r="D3" s="428"/>
      <c r="E3" s="428"/>
      <c r="F3" s="428"/>
      <c r="G3" s="428"/>
      <c r="H3" s="428"/>
      <c r="I3" s="428"/>
      <c r="J3" s="428"/>
      <c r="K3" s="428"/>
      <c r="L3" s="428"/>
      <c r="M3" s="428"/>
      <c r="N3" s="428"/>
      <c r="O3" s="428"/>
      <c r="P3" s="428"/>
      <c r="Q3" s="428"/>
      <c r="R3" s="428"/>
      <c r="S3" s="428"/>
      <c r="T3" s="428"/>
      <c r="U3" s="428"/>
      <c r="V3" s="428"/>
      <c r="W3" s="428"/>
      <c r="X3" s="428"/>
      <c r="Y3" s="428"/>
      <c r="Z3" s="428"/>
      <c r="AA3" s="428"/>
      <c r="AB3" s="428"/>
      <c r="AC3" s="428"/>
      <c r="AD3" s="428"/>
      <c r="AE3" s="428"/>
      <c r="AF3" s="428"/>
      <c r="AG3" s="428"/>
      <c r="AH3" s="428"/>
      <c r="AI3" s="428"/>
      <c r="AJ3" s="428"/>
      <c r="AK3" s="428"/>
      <c r="AL3" s="428"/>
      <c r="AM3" s="428"/>
      <c r="AN3" s="428"/>
      <c r="AO3" s="428"/>
      <c r="AP3" s="429"/>
      <c r="AQ3" s="40"/>
      <c r="AR3" s="40"/>
      <c r="AS3" s="40"/>
      <c r="AT3" s="40"/>
      <c r="AU3" s="40"/>
      <c r="AV3" s="40"/>
    </row>
    <row r="4" spans="2:48" ht="24.75" customHeight="1" thickBot="1" x14ac:dyDescent="0.3">
      <c r="B4" s="49"/>
      <c r="C4" s="47"/>
      <c r="D4" s="47"/>
      <c r="E4" s="47"/>
      <c r="F4" s="44"/>
      <c r="G4" s="44"/>
      <c r="AQ4" s="40"/>
      <c r="AR4" s="40"/>
      <c r="AS4" s="40"/>
      <c r="AT4" s="40"/>
      <c r="AU4" s="40"/>
      <c r="AV4" s="40"/>
    </row>
    <row r="5" spans="2:48" ht="33.75" customHeight="1" thickBot="1" x14ac:dyDescent="0.3">
      <c r="B5" s="377" t="s">
        <v>10</v>
      </c>
      <c r="C5" s="381" t="s">
        <v>7</v>
      </c>
      <c r="D5" s="381"/>
      <c r="E5" s="381"/>
      <c r="F5" s="46"/>
      <c r="G5" s="40"/>
      <c r="AU5" s="40"/>
      <c r="AV5" s="40"/>
    </row>
    <row r="6" spans="2:48" ht="23.25" customHeight="1" x14ac:dyDescent="0.25">
      <c r="B6" s="377"/>
      <c r="C6" s="430" t="s">
        <v>99</v>
      </c>
      <c r="D6" s="430"/>
      <c r="E6" s="430"/>
      <c r="F6" s="46"/>
      <c r="G6" s="40"/>
      <c r="H6" s="312" t="s">
        <v>100</v>
      </c>
      <c r="I6" s="313"/>
      <c r="J6" s="313"/>
      <c r="K6" s="313" t="s">
        <v>8</v>
      </c>
      <c r="L6" s="313"/>
      <c r="M6" s="313"/>
      <c r="N6" s="313"/>
      <c r="O6" s="313"/>
      <c r="P6" s="313"/>
      <c r="Q6" s="313"/>
      <c r="R6" s="313"/>
      <c r="S6" s="313"/>
      <c r="T6" s="313"/>
      <c r="U6" s="313"/>
      <c r="V6" s="313"/>
      <c r="W6" s="313"/>
      <c r="X6" s="313"/>
      <c r="Y6" s="313"/>
      <c r="Z6" s="313"/>
      <c r="AA6" s="313"/>
      <c r="AB6" s="313"/>
      <c r="AC6" s="313"/>
      <c r="AD6" s="313"/>
      <c r="AE6" s="313"/>
      <c r="AF6" s="313"/>
      <c r="AG6" s="313"/>
      <c r="AH6" s="313"/>
      <c r="AI6" s="313"/>
      <c r="AJ6" s="313"/>
      <c r="AK6" s="313"/>
      <c r="AL6" s="313"/>
      <c r="AM6" s="313"/>
      <c r="AN6" s="313"/>
      <c r="AO6" s="314"/>
    </row>
    <row r="7" spans="2:48" ht="42.6" customHeight="1" thickBot="1" x14ac:dyDescent="0.3">
      <c r="B7" s="377" t="s">
        <v>89</v>
      </c>
      <c r="C7" s="74" t="s">
        <v>91</v>
      </c>
      <c r="D7" s="75" t="s">
        <v>92</v>
      </c>
      <c r="E7" s="75" t="s">
        <v>3</v>
      </c>
      <c r="F7" s="46"/>
      <c r="G7" s="40"/>
      <c r="H7" s="315"/>
      <c r="I7" s="316"/>
      <c r="J7" s="316"/>
      <c r="K7" s="316"/>
      <c r="L7" s="316"/>
      <c r="M7" s="316" t="s">
        <v>8</v>
      </c>
      <c r="N7" s="316"/>
      <c r="O7" s="316"/>
      <c r="P7" s="316"/>
      <c r="Q7" s="316"/>
      <c r="R7" s="316"/>
      <c r="S7" s="316"/>
      <c r="T7" s="316"/>
      <c r="U7" s="316"/>
      <c r="V7" s="316"/>
      <c r="W7" s="316"/>
      <c r="X7" s="316"/>
      <c r="Y7" s="316"/>
      <c r="Z7" s="316"/>
      <c r="AA7" s="316"/>
      <c r="AB7" s="316"/>
      <c r="AC7" s="316"/>
      <c r="AD7" s="316"/>
      <c r="AE7" s="316"/>
      <c r="AF7" s="316"/>
      <c r="AG7" s="316"/>
      <c r="AH7" s="316"/>
      <c r="AI7" s="316"/>
      <c r="AJ7" s="316"/>
      <c r="AK7" s="316"/>
      <c r="AL7" s="316"/>
      <c r="AM7" s="316"/>
      <c r="AN7" s="316"/>
      <c r="AO7" s="317"/>
      <c r="AP7" s="48"/>
    </row>
    <row r="8" spans="2:48" s="40" customFormat="1" ht="23.25" customHeight="1" thickBot="1" x14ac:dyDescent="0.35">
      <c r="B8" s="76">
        <v>1</v>
      </c>
      <c r="C8" s="58">
        <v>30</v>
      </c>
      <c r="D8" s="57">
        <v>16</v>
      </c>
      <c r="E8" s="77">
        <f t="shared" ref="E8:E39" si="0">SUM(C8:D8)</f>
        <v>46</v>
      </c>
      <c r="F8" s="46"/>
      <c r="G8" s="45"/>
      <c r="H8" s="78"/>
      <c r="I8" s="54"/>
      <c r="J8" s="54"/>
      <c r="K8" s="431" t="s">
        <v>2</v>
      </c>
      <c r="L8" s="431"/>
      <c r="M8" s="431"/>
      <c r="N8" s="431"/>
      <c r="O8" s="431"/>
      <c r="P8" s="431"/>
      <c r="Q8" s="431"/>
      <c r="R8" s="431"/>
      <c r="S8" s="431"/>
      <c r="T8" s="431"/>
      <c r="U8" s="431"/>
      <c r="V8" s="431"/>
      <c r="W8" s="431"/>
      <c r="X8" s="431"/>
      <c r="Y8" s="431"/>
      <c r="Z8" s="431"/>
      <c r="AA8" s="431"/>
      <c r="AB8" s="431"/>
      <c r="AC8" s="431"/>
      <c r="AD8" s="431"/>
      <c r="AE8" s="431"/>
      <c r="AF8" s="431"/>
      <c r="AG8" s="431"/>
      <c r="AH8" s="431"/>
      <c r="AI8" s="431"/>
      <c r="AJ8" s="431"/>
      <c r="AK8" s="431"/>
      <c r="AL8" s="431"/>
      <c r="AM8" s="431"/>
      <c r="AN8" s="431"/>
      <c r="AO8" s="432"/>
      <c r="AP8" s="55"/>
    </row>
    <row r="9" spans="2:48" s="40" customFormat="1" ht="23.25" customHeight="1" x14ac:dyDescent="0.3">
      <c r="B9" s="76">
        <v>2</v>
      </c>
      <c r="C9" s="58">
        <v>30</v>
      </c>
      <c r="D9" s="57">
        <v>16</v>
      </c>
      <c r="E9" s="77">
        <f t="shared" si="0"/>
        <v>46</v>
      </c>
      <c r="F9" s="46"/>
      <c r="G9" s="45"/>
      <c r="H9" s="384">
        <v>44958</v>
      </c>
      <c r="I9" s="433"/>
      <c r="J9" s="434"/>
      <c r="K9" s="59">
        <v>1</v>
      </c>
      <c r="L9" s="59">
        <v>2</v>
      </c>
      <c r="M9" s="59">
        <v>3</v>
      </c>
      <c r="N9" s="59">
        <v>4</v>
      </c>
      <c r="O9" s="59">
        <v>5</v>
      </c>
      <c r="P9" s="59">
        <v>6</v>
      </c>
      <c r="Q9" s="59">
        <v>7</v>
      </c>
      <c r="R9" s="59">
        <v>8</v>
      </c>
      <c r="S9" s="59">
        <v>9</v>
      </c>
      <c r="T9" s="59">
        <v>10</v>
      </c>
      <c r="U9" s="59">
        <v>11</v>
      </c>
      <c r="V9" s="59">
        <v>12</v>
      </c>
      <c r="W9" s="59">
        <v>13</v>
      </c>
      <c r="X9" s="59">
        <v>14</v>
      </c>
      <c r="Y9" s="59">
        <v>15</v>
      </c>
      <c r="Z9" s="59">
        <v>16</v>
      </c>
      <c r="AA9" s="59">
        <v>17</v>
      </c>
      <c r="AB9" s="59">
        <v>18</v>
      </c>
      <c r="AC9" s="59">
        <v>19</v>
      </c>
      <c r="AD9" s="59">
        <v>20</v>
      </c>
      <c r="AE9" s="59">
        <v>21</v>
      </c>
      <c r="AF9" s="59">
        <v>22</v>
      </c>
      <c r="AG9" s="59">
        <v>23</v>
      </c>
      <c r="AH9" s="59">
        <v>24</v>
      </c>
      <c r="AI9" s="59">
        <v>25</v>
      </c>
      <c r="AJ9" s="59">
        <v>26</v>
      </c>
      <c r="AK9" s="59">
        <v>27</v>
      </c>
      <c r="AL9" s="59">
        <v>28</v>
      </c>
      <c r="AM9" s="59">
        <v>29</v>
      </c>
      <c r="AN9" s="59">
        <v>30</v>
      </c>
      <c r="AO9" s="60">
        <v>31</v>
      </c>
      <c r="AP9" s="55"/>
    </row>
    <row r="10" spans="2:48" s="40" customFormat="1" ht="23.25" customHeight="1" x14ac:dyDescent="0.3">
      <c r="B10" s="76">
        <v>3</v>
      </c>
      <c r="C10" s="58">
        <v>31</v>
      </c>
      <c r="D10" s="57">
        <v>16</v>
      </c>
      <c r="E10" s="77">
        <f t="shared" si="0"/>
        <v>47</v>
      </c>
      <c r="F10" s="46"/>
      <c r="G10" s="45"/>
      <c r="H10" s="384"/>
      <c r="I10" s="378" t="s">
        <v>91</v>
      </c>
      <c r="J10" s="378"/>
      <c r="K10" s="61">
        <v>30</v>
      </c>
      <c r="L10" s="61">
        <v>30</v>
      </c>
      <c r="M10" s="61">
        <v>31</v>
      </c>
      <c r="N10" s="61">
        <v>24</v>
      </c>
      <c r="O10" s="61">
        <v>26</v>
      </c>
      <c r="P10" s="61">
        <v>30</v>
      </c>
      <c r="Q10" s="61">
        <v>30</v>
      </c>
      <c r="R10" s="61">
        <v>30</v>
      </c>
      <c r="S10" s="61">
        <v>20</v>
      </c>
      <c r="T10" s="61">
        <v>31</v>
      </c>
      <c r="U10" s="61">
        <v>24</v>
      </c>
      <c r="V10" s="61">
        <v>26</v>
      </c>
      <c r="W10" s="61">
        <v>30</v>
      </c>
      <c r="X10" s="61">
        <v>30</v>
      </c>
      <c r="Y10" s="61">
        <v>30</v>
      </c>
      <c r="Z10" s="61">
        <v>30</v>
      </c>
      <c r="AA10" s="61">
        <v>31</v>
      </c>
      <c r="AB10" s="61">
        <v>24</v>
      </c>
      <c r="AC10" s="61">
        <v>26</v>
      </c>
      <c r="AD10" s="61">
        <v>30</v>
      </c>
      <c r="AE10" s="61">
        <v>30</v>
      </c>
      <c r="AF10" s="61">
        <v>30</v>
      </c>
      <c r="AG10" s="61">
        <v>30</v>
      </c>
      <c r="AH10" s="61">
        <v>31</v>
      </c>
      <c r="AI10" s="61">
        <v>24</v>
      </c>
      <c r="AJ10" s="61">
        <v>26</v>
      </c>
      <c r="AK10" s="61">
        <v>30</v>
      </c>
      <c r="AL10" s="61">
        <v>30</v>
      </c>
      <c r="AM10" s="61">
        <v>0</v>
      </c>
      <c r="AN10" s="61">
        <v>0</v>
      </c>
      <c r="AO10" s="61">
        <v>0</v>
      </c>
      <c r="AP10" s="55"/>
    </row>
    <row r="11" spans="2:48" s="40" customFormat="1" ht="23.25" customHeight="1" x14ac:dyDescent="0.3">
      <c r="B11" s="76">
        <v>4</v>
      </c>
      <c r="C11" s="58">
        <v>24</v>
      </c>
      <c r="D11" s="57">
        <v>12</v>
      </c>
      <c r="E11" s="77">
        <f t="shared" si="0"/>
        <v>36</v>
      </c>
      <c r="F11" s="46"/>
      <c r="G11" s="45"/>
      <c r="H11" s="384"/>
      <c r="I11" s="378" t="s">
        <v>101</v>
      </c>
      <c r="J11" s="378"/>
      <c r="K11" s="61">
        <v>16</v>
      </c>
      <c r="L11" s="61">
        <v>16</v>
      </c>
      <c r="M11" s="61">
        <v>16</v>
      </c>
      <c r="N11" s="61">
        <v>12</v>
      </c>
      <c r="O11" s="61">
        <v>12</v>
      </c>
      <c r="P11" s="61">
        <v>16</v>
      </c>
      <c r="Q11" s="61">
        <v>16</v>
      </c>
      <c r="R11" s="61">
        <v>16</v>
      </c>
      <c r="S11" s="61">
        <v>16</v>
      </c>
      <c r="T11" s="61">
        <v>16</v>
      </c>
      <c r="U11" s="61">
        <v>12</v>
      </c>
      <c r="V11" s="61">
        <v>12</v>
      </c>
      <c r="W11" s="61">
        <v>16</v>
      </c>
      <c r="X11" s="61">
        <v>16</v>
      </c>
      <c r="Y11" s="61">
        <v>16</v>
      </c>
      <c r="Z11" s="61">
        <v>16</v>
      </c>
      <c r="AA11" s="61">
        <v>16</v>
      </c>
      <c r="AB11" s="61">
        <v>12</v>
      </c>
      <c r="AC11" s="61">
        <v>12</v>
      </c>
      <c r="AD11" s="61">
        <v>16</v>
      </c>
      <c r="AE11" s="61">
        <v>16</v>
      </c>
      <c r="AF11" s="61">
        <v>16</v>
      </c>
      <c r="AG11" s="61">
        <v>16</v>
      </c>
      <c r="AH11" s="61">
        <v>16</v>
      </c>
      <c r="AI11" s="61">
        <v>12</v>
      </c>
      <c r="AJ11" s="61">
        <v>12</v>
      </c>
      <c r="AK11" s="61">
        <v>16</v>
      </c>
      <c r="AL11" s="61">
        <v>16</v>
      </c>
      <c r="AM11" s="61">
        <v>0</v>
      </c>
      <c r="AN11" s="61">
        <v>0</v>
      </c>
      <c r="AO11" s="61">
        <v>0</v>
      </c>
      <c r="AP11" s="55"/>
    </row>
    <row r="12" spans="2:48" s="40" customFormat="1" ht="23.25" customHeight="1" x14ac:dyDescent="0.3">
      <c r="B12" s="76">
        <v>5</v>
      </c>
      <c r="C12" s="58">
        <v>26</v>
      </c>
      <c r="D12" s="57">
        <v>12</v>
      </c>
      <c r="E12" s="77">
        <f t="shared" si="0"/>
        <v>38</v>
      </c>
      <c r="F12" s="45"/>
      <c r="G12" s="45"/>
      <c r="H12" s="384"/>
      <c r="I12" s="378" t="s">
        <v>102</v>
      </c>
      <c r="J12" s="378"/>
      <c r="K12" s="61">
        <f>K11*0.16</f>
        <v>2.56</v>
      </c>
      <c r="L12" s="61">
        <f t="shared" ref="L12:AO12" si="1">L11*0.16</f>
        <v>2.56</v>
      </c>
      <c r="M12" s="61">
        <f t="shared" si="1"/>
        <v>2.56</v>
      </c>
      <c r="N12" s="61">
        <f t="shared" si="1"/>
        <v>1.92</v>
      </c>
      <c r="O12" s="61">
        <f t="shared" si="1"/>
        <v>1.92</v>
      </c>
      <c r="P12" s="61">
        <f t="shared" si="1"/>
        <v>2.56</v>
      </c>
      <c r="Q12" s="61">
        <f t="shared" si="1"/>
        <v>2.56</v>
      </c>
      <c r="R12" s="61">
        <f t="shared" si="1"/>
        <v>2.56</v>
      </c>
      <c r="S12" s="61">
        <f t="shared" si="1"/>
        <v>2.56</v>
      </c>
      <c r="T12" s="61">
        <f t="shared" si="1"/>
        <v>2.56</v>
      </c>
      <c r="U12" s="61">
        <f t="shared" si="1"/>
        <v>1.92</v>
      </c>
      <c r="V12" s="61">
        <f t="shared" si="1"/>
        <v>1.92</v>
      </c>
      <c r="W12" s="61">
        <f t="shared" si="1"/>
        <v>2.56</v>
      </c>
      <c r="X12" s="61">
        <f t="shared" si="1"/>
        <v>2.56</v>
      </c>
      <c r="Y12" s="61">
        <f t="shared" si="1"/>
        <v>2.56</v>
      </c>
      <c r="Z12" s="61">
        <f t="shared" si="1"/>
        <v>2.56</v>
      </c>
      <c r="AA12" s="61">
        <f t="shared" si="1"/>
        <v>2.56</v>
      </c>
      <c r="AB12" s="61">
        <f t="shared" si="1"/>
        <v>1.92</v>
      </c>
      <c r="AC12" s="61">
        <f t="shared" si="1"/>
        <v>1.92</v>
      </c>
      <c r="AD12" s="61">
        <f t="shared" si="1"/>
        <v>2.56</v>
      </c>
      <c r="AE12" s="61">
        <f t="shared" si="1"/>
        <v>2.56</v>
      </c>
      <c r="AF12" s="61">
        <f t="shared" si="1"/>
        <v>2.56</v>
      </c>
      <c r="AG12" s="61">
        <f t="shared" si="1"/>
        <v>2.56</v>
      </c>
      <c r="AH12" s="61">
        <f t="shared" si="1"/>
        <v>2.56</v>
      </c>
      <c r="AI12" s="61">
        <f t="shared" si="1"/>
        <v>1.92</v>
      </c>
      <c r="AJ12" s="61">
        <f t="shared" si="1"/>
        <v>1.92</v>
      </c>
      <c r="AK12" s="61">
        <f t="shared" si="1"/>
        <v>2.56</v>
      </c>
      <c r="AL12" s="61">
        <f t="shared" si="1"/>
        <v>2.56</v>
      </c>
      <c r="AM12" s="61">
        <f t="shared" si="1"/>
        <v>0</v>
      </c>
      <c r="AN12" s="61">
        <f t="shared" si="1"/>
        <v>0</v>
      </c>
      <c r="AO12" s="61">
        <f t="shared" si="1"/>
        <v>0</v>
      </c>
      <c r="AP12" s="55"/>
    </row>
    <row r="13" spans="2:48" s="40" customFormat="1" ht="23.25" customHeight="1" x14ac:dyDescent="0.3">
      <c r="B13" s="76">
        <v>6</v>
      </c>
      <c r="C13" s="58">
        <v>30</v>
      </c>
      <c r="D13" s="57">
        <v>16</v>
      </c>
      <c r="E13" s="77">
        <f t="shared" si="0"/>
        <v>46</v>
      </c>
      <c r="F13" s="45"/>
      <c r="G13" s="45"/>
      <c r="H13" s="384"/>
      <c r="I13" s="372" t="s">
        <v>3</v>
      </c>
      <c r="J13" s="372"/>
      <c r="K13" s="64">
        <f t="shared" ref="K13:AO13" si="2">SUM(K10:K12)</f>
        <v>48.56</v>
      </c>
      <c r="L13" s="64">
        <f t="shared" si="2"/>
        <v>48.56</v>
      </c>
      <c r="M13" s="64">
        <f t="shared" si="2"/>
        <v>49.56</v>
      </c>
      <c r="N13" s="64">
        <f t="shared" si="2"/>
        <v>37.92</v>
      </c>
      <c r="O13" s="64">
        <f t="shared" si="2"/>
        <v>39.92</v>
      </c>
      <c r="P13" s="64">
        <f t="shared" si="2"/>
        <v>48.56</v>
      </c>
      <c r="Q13" s="64">
        <f t="shared" si="2"/>
        <v>48.56</v>
      </c>
      <c r="R13" s="64">
        <f t="shared" si="2"/>
        <v>48.56</v>
      </c>
      <c r="S13" s="64">
        <f t="shared" si="2"/>
        <v>38.56</v>
      </c>
      <c r="T13" s="64">
        <f t="shared" si="2"/>
        <v>49.56</v>
      </c>
      <c r="U13" s="64">
        <f t="shared" si="2"/>
        <v>37.92</v>
      </c>
      <c r="V13" s="64">
        <f t="shared" si="2"/>
        <v>39.92</v>
      </c>
      <c r="W13" s="64">
        <f t="shared" si="2"/>
        <v>48.56</v>
      </c>
      <c r="X13" s="64">
        <f t="shared" si="2"/>
        <v>48.56</v>
      </c>
      <c r="Y13" s="64">
        <f t="shared" si="2"/>
        <v>48.56</v>
      </c>
      <c r="Z13" s="64">
        <f t="shared" si="2"/>
        <v>48.56</v>
      </c>
      <c r="AA13" s="64">
        <f t="shared" si="2"/>
        <v>49.56</v>
      </c>
      <c r="AB13" s="64">
        <f t="shared" si="2"/>
        <v>37.92</v>
      </c>
      <c r="AC13" s="64">
        <f t="shared" si="2"/>
        <v>39.92</v>
      </c>
      <c r="AD13" s="64">
        <f t="shared" si="2"/>
        <v>48.56</v>
      </c>
      <c r="AE13" s="64">
        <f t="shared" si="2"/>
        <v>48.56</v>
      </c>
      <c r="AF13" s="64">
        <f t="shared" si="2"/>
        <v>48.56</v>
      </c>
      <c r="AG13" s="64">
        <f t="shared" si="2"/>
        <v>48.56</v>
      </c>
      <c r="AH13" s="64">
        <f t="shared" si="2"/>
        <v>49.56</v>
      </c>
      <c r="AI13" s="64">
        <f t="shared" si="2"/>
        <v>37.92</v>
      </c>
      <c r="AJ13" s="64">
        <f t="shared" si="2"/>
        <v>39.92</v>
      </c>
      <c r="AK13" s="64">
        <f t="shared" si="2"/>
        <v>48.56</v>
      </c>
      <c r="AL13" s="64">
        <f t="shared" si="2"/>
        <v>48.56</v>
      </c>
      <c r="AM13" s="64">
        <f t="shared" si="2"/>
        <v>0</v>
      </c>
      <c r="AN13" s="64">
        <f t="shared" si="2"/>
        <v>0</v>
      </c>
      <c r="AO13" s="64">
        <f t="shared" si="2"/>
        <v>0</v>
      </c>
      <c r="AP13" s="55"/>
    </row>
    <row r="14" spans="2:48" s="40" customFormat="1" ht="23.25" customHeight="1" x14ac:dyDescent="0.3">
      <c r="B14" s="76">
        <v>7</v>
      </c>
      <c r="C14" s="58">
        <v>30</v>
      </c>
      <c r="D14" s="57">
        <v>16</v>
      </c>
      <c r="E14" s="77">
        <f t="shared" si="0"/>
        <v>46</v>
      </c>
      <c r="F14" s="45"/>
      <c r="G14" s="45"/>
      <c r="H14" s="79"/>
      <c r="I14" s="80"/>
      <c r="J14" s="80"/>
      <c r="K14" s="81"/>
      <c r="L14" s="81"/>
      <c r="M14" s="81"/>
      <c r="N14" s="81"/>
      <c r="O14" s="81"/>
      <c r="P14" s="81"/>
      <c r="Q14" s="81"/>
      <c r="R14" s="81"/>
      <c r="S14" s="81"/>
      <c r="T14" s="81"/>
      <c r="U14" s="81"/>
      <c r="V14" s="81"/>
      <c r="W14" s="81"/>
      <c r="X14" s="81"/>
      <c r="Y14" s="81"/>
      <c r="Z14" s="81"/>
      <c r="AA14" s="81"/>
      <c r="AB14" s="81"/>
      <c r="AC14" s="81"/>
      <c r="AD14" s="81"/>
      <c r="AE14" s="81"/>
      <c r="AF14" s="81"/>
      <c r="AG14" s="81"/>
      <c r="AH14" s="81"/>
      <c r="AI14" s="81"/>
      <c r="AJ14" s="81"/>
      <c r="AK14" s="81"/>
      <c r="AL14" s="81"/>
      <c r="AM14" s="81"/>
      <c r="AN14" s="81"/>
      <c r="AO14" s="81"/>
      <c r="AP14" s="55"/>
    </row>
    <row r="15" spans="2:48" s="40" customFormat="1" ht="23.25" customHeight="1" thickBot="1" x14ac:dyDescent="0.35">
      <c r="B15" s="76">
        <v>8</v>
      </c>
      <c r="C15" s="58">
        <v>30</v>
      </c>
      <c r="D15" s="57">
        <v>16</v>
      </c>
      <c r="E15" s="77">
        <f t="shared" si="0"/>
        <v>46</v>
      </c>
      <c r="F15" s="45"/>
      <c r="G15" s="45"/>
      <c r="H15" s="79"/>
      <c r="I15" s="80"/>
      <c r="J15" s="80"/>
      <c r="K15" s="81"/>
      <c r="L15" s="81"/>
      <c r="M15" s="81"/>
      <c r="N15" s="81"/>
      <c r="O15" s="81"/>
      <c r="P15" s="81"/>
      <c r="Q15" s="81"/>
      <c r="R15" s="81"/>
      <c r="S15" s="81"/>
      <c r="T15" s="81"/>
      <c r="U15" s="81"/>
      <c r="V15" s="81"/>
      <c r="W15" s="81"/>
      <c r="X15" s="81"/>
      <c r="Y15" s="81"/>
      <c r="Z15" s="81"/>
      <c r="AA15" s="81"/>
      <c r="AB15" s="81"/>
      <c r="AC15" s="81"/>
      <c r="AD15" s="81"/>
      <c r="AE15" s="81"/>
      <c r="AF15" s="81"/>
      <c r="AG15" s="81"/>
      <c r="AH15" s="81"/>
      <c r="AI15" s="81"/>
      <c r="AJ15" s="81"/>
      <c r="AK15" s="81"/>
      <c r="AL15" s="81"/>
      <c r="AM15" s="81"/>
      <c r="AN15" s="81"/>
      <c r="AO15" s="81"/>
      <c r="AP15" s="55"/>
    </row>
    <row r="16" spans="2:48" s="40" customFormat="1" ht="23.25" customHeight="1" x14ac:dyDescent="0.3">
      <c r="B16" s="76">
        <v>9</v>
      </c>
      <c r="C16" s="58">
        <v>20</v>
      </c>
      <c r="D16" s="57">
        <v>16</v>
      </c>
      <c r="E16" s="77">
        <f t="shared" si="0"/>
        <v>36</v>
      </c>
      <c r="F16" s="45"/>
      <c r="G16" s="45"/>
      <c r="H16" s="312" t="s">
        <v>103</v>
      </c>
      <c r="I16" s="313"/>
      <c r="J16" s="313"/>
      <c r="K16" s="313"/>
      <c r="L16" s="313"/>
      <c r="M16" s="313"/>
      <c r="N16" s="313"/>
      <c r="O16" s="313"/>
      <c r="P16" s="313"/>
      <c r="Q16" s="313"/>
      <c r="R16" s="313"/>
      <c r="S16" s="313"/>
      <c r="T16" s="313"/>
      <c r="U16" s="313"/>
      <c r="V16" s="313"/>
      <c r="W16" s="313"/>
      <c r="X16" s="313"/>
      <c r="Y16" s="313"/>
      <c r="Z16" s="313"/>
      <c r="AA16" s="313"/>
      <c r="AB16" s="313"/>
      <c r="AC16" s="313"/>
      <c r="AD16" s="313"/>
      <c r="AE16" s="313"/>
      <c r="AF16" s="313"/>
      <c r="AG16" s="313"/>
      <c r="AH16" s="313"/>
      <c r="AI16" s="313"/>
      <c r="AJ16" s="313"/>
      <c r="AK16" s="313"/>
      <c r="AL16" s="313"/>
      <c r="AM16" s="313"/>
      <c r="AN16" s="313"/>
      <c r="AO16" s="314"/>
      <c r="AP16" s="55"/>
    </row>
    <row r="17" spans="2:42" s="40" customFormat="1" ht="23.25" customHeight="1" thickBot="1" x14ac:dyDescent="0.35">
      <c r="B17" s="76">
        <v>10</v>
      </c>
      <c r="C17" s="58">
        <v>31</v>
      </c>
      <c r="D17" s="57">
        <v>16</v>
      </c>
      <c r="E17" s="77">
        <f t="shared" si="0"/>
        <v>47</v>
      </c>
      <c r="F17" s="45"/>
      <c r="G17" s="45"/>
      <c r="H17" s="315"/>
      <c r="I17" s="316"/>
      <c r="J17" s="316"/>
      <c r="K17" s="316"/>
      <c r="L17" s="316"/>
      <c r="M17" s="316"/>
      <c r="N17" s="316"/>
      <c r="O17" s="316"/>
      <c r="P17" s="316"/>
      <c r="Q17" s="316"/>
      <c r="R17" s="316"/>
      <c r="S17" s="316"/>
      <c r="T17" s="316"/>
      <c r="U17" s="316"/>
      <c r="V17" s="316"/>
      <c r="W17" s="316"/>
      <c r="X17" s="316"/>
      <c r="Y17" s="316"/>
      <c r="Z17" s="316"/>
      <c r="AA17" s="316"/>
      <c r="AB17" s="316"/>
      <c r="AC17" s="316"/>
      <c r="AD17" s="316"/>
      <c r="AE17" s="316"/>
      <c r="AF17" s="316"/>
      <c r="AG17" s="316"/>
      <c r="AH17" s="316"/>
      <c r="AI17" s="316"/>
      <c r="AJ17" s="316"/>
      <c r="AK17" s="316"/>
      <c r="AL17" s="316"/>
      <c r="AM17" s="316"/>
      <c r="AN17" s="316"/>
      <c r="AO17" s="317"/>
      <c r="AP17" s="55"/>
    </row>
    <row r="18" spans="2:42" s="40" customFormat="1" ht="23.25" customHeight="1" x14ac:dyDescent="0.3">
      <c r="B18" s="76">
        <v>11</v>
      </c>
      <c r="C18" s="58">
        <v>24</v>
      </c>
      <c r="D18" s="57">
        <v>12</v>
      </c>
      <c r="E18" s="77">
        <f t="shared" si="0"/>
        <v>36</v>
      </c>
      <c r="F18" s="45"/>
      <c r="G18" s="45"/>
      <c r="H18" s="435">
        <f>B3</f>
        <v>44958</v>
      </c>
      <c r="I18" s="65"/>
      <c r="J18" s="65"/>
      <c r="K18" s="438" t="s">
        <v>104</v>
      </c>
      <c r="L18" s="438"/>
      <c r="M18" s="438"/>
      <c r="N18" s="438"/>
      <c r="O18" s="438"/>
      <c r="P18" s="438"/>
      <c r="Q18" s="438"/>
      <c r="R18" s="438"/>
      <c r="S18" s="438"/>
      <c r="T18" s="438"/>
      <c r="U18" s="438"/>
      <c r="V18" s="438"/>
      <c r="W18" s="438"/>
      <c r="X18" s="438"/>
      <c r="Y18" s="438"/>
      <c r="Z18" s="438"/>
      <c r="AA18" s="438"/>
      <c r="AB18" s="438"/>
      <c r="AC18" s="438"/>
      <c r="AD18" s="438"/>
      <c r="AE18" s="438"/>
      <c r="AF18" s="438"/>
      <c r="AG18" s="438"/>
      <c r="AH18" s="438"/>
      <c r="AI18" s="438"/>
      <c r="AJ18" s="438"/>
      <c r="AK18" s="438"/>
      <c r="AL18" s="438"/>
      <c r="AM18" s="438"/>
      <c r="AN18" s="438"/>
      <c r="AO18" s="439"/>
      <c r="AP18" s="55"/>
    </row>
    <row r="19" spans="2:42" s="40" customFormat="1" ht="23.25" customHeight="1" x14ac:dyDescent="0.3">
      <c r="B19" s="76">
        <v>12</v>
      </c>
      <c r="C19" s="58">
        <v>26</v>
      </c>
      <c r="D19" s="57">
        <v>12</v>
      </c>
      <c r="E19" s="77">
        <f t="shared" si="0"/>
        <v>38</v>
      </c>
      <c r="F19" s="45"/>
      <c r="G19" s="45"/>
      <c r="H19" s="436"/>
      <c r="I19" s="66"/>
      <c r="J19" s="66"/>
      <c r="K19" s="440" t="s">
        <v>105</v>
      </c>
      <c r="L19" s="440"/>
      <c r="M19" s="440"/>
      <c r="N19" s="440"/>
      <c r="O19" s="440"/>
      <c r="P19" s="440"/>
      <c r="Q19" s="440"/>
      <c r="R19" s="440"/>
      <c r="S19" s="440"/>
      <c r="T19" s="440"/>
      <c r="U19" s="440"/>
      <c r="V19" s="440"/>
      <c r="W19" s="440"/>
      <c r="X19" s="440"/>
      <c r="Y19" s="440"/>
      <c r="Z19" s="440" t="s">
        <v>106</v>
      </c>
      <c r="AA19" s="440"/>
      <c r="AB19" s="440"/>
      <c r="AC19" s="440"/>
      <c r="AD19" s="440"/>
      <c r="AE19" s="440"/>
      <c r="AF19" s="440"/>
      <c r="AG19" s="440"/>
      <c r="AH19" s="440"/>
      <c r="AI19" s="440"/>
      <c r="AJ19" s="440"/>
      <c r="AK19" s="440"/>
      <c r="AL19" s="440"/>
      <c r="AM19" s="440"/>
      <c r="AN19" s="440"/>
      <c r="AO19" s="441"/>
      <c r="AP19" s="55"/>
    </row>
    <row r="20" spans="2:42" s="40" customFormat="1" ht="23.25" customHeight="1" thickBot="1" x14ac:dyDescent="0.35">
      <c r="B20" s="76">
        <v>13</v>
      </c>
      <c r="C20" s="58">
        <v>30</v>
      </c>
      <c r="D20" s="57">
        <v>16</v>
      </c>
      <c r="E20" s="77">
        <f t="shared" si="0"/>
        <v>46</v>
      </c>
      <c r="F20" s="45"/>
      <c r="G20" s="45"/>
      <c r="H20" s="437"/>
      <c r="I20" s="67"/>
      <c r="J20" s="67"/>
      <c r="K20" s="442" t="e">
        <f>#REF!</f>
        <v>#REF!</v>
      </c>
      <c r="L20" s="443"/>
      <c r="M20" s="443"/>
      <c r="N20" s="443"/>
      <c r="O20" s="443"/>
      <c r="P20" s="443"/>
      <c r="Q20" s="443"/>
      <c r="R20" s="443"/>
      <c r="S20" s="443"/>
      <c r="T20" s="443"/>
      <c r="U20" s="443"/>
      <c r="V20" s="443"/>
      <c r="W20" s="443"/>
      <c r="X20" s="443"/>
      <c r="Y20" s="444"/>
      <c r="Z20" s="442" t="e">
        <f>C39+D39+#REF!</f>
        <v>#REF!</v>
      </c>
      <c r="AA20" s="443"/>
      <c r="AB20" s="443"/>
      <c r="AC20" s="443"/>
      <c r="AD20" s="443"/>
      <c r="AE20" s="443"/>
      <c r="AF20" s="443"/>
      <c r="AG20" s="443"/>
      <c r="AH20" s="443"/>
      <c r="AI20" s="443"/>
      <c r="AJ20" s="443"/>
      <c r="AK20" s="443"/>
      <c r="AL20" s="443"/>
      <c r="AM20" s="443"/>
      <c r="AN20" s="443"/>
      <c r="AO20" s="445"/>
      <c r="AP20" s="55"/>
    </row>
    <row r="21" spans="2:42" s="40" customFormat="1" ht="23.25" customHeight="1" x14ac:dyDescent="0.3">
      <c r="B21" s="76">
        <v>14</v>
      </c>
      <c r="C21" s="58">
        <v>30</v>
      </c>
      <c r="D21" s="57">
        <v>16</v>
      </c>
      <c r="E21" s="77">
        <f t="shared" si="0"/>
        <v>46</v>
      </c>
      <c r="F21" s="45"/>
      <c r="G21" s="45"/>
      <c r="I21" s="46"/>
      <c r="J21" s="46"/>
      <c r="K21" s="46"/>
      <c r="L21" s="46"/>
      <c r="M21" s="46"/>
      <c r="N21" s="46"/>
      <c r="O21" s="46"/>
      <c r="P21" s="46"/>
      <c r="Q21" s="46"/>
      <c r="R21" s="46"/>
      <c r="S21" s="46"/>
      <c r="T21" s="46"/>
      <c r="U21" s="46"/>
      <c r="V21" s="46"/>
      <c r="W21" s="46"/>
      <c r="X21" s="46"/>
      <c r="Y21" s="46"/>
      <c r="Z21" s="46"/>
      <c r="AA21" s="46"/>
      <c r="AB21" s="46"/>
      <c r="AC21" s="46"/>
      <c r="AD21" s="46"/>
      <c r="AE21" s="46"/>
      <c r="AF21" s="46"/>
      <c r="AG21" s="46"/>
      <c r="AH21" s="46"/>
      <c r="AI21" s="46"/>
      <c r="AJ21" s="46"/>
      <c r="AK21" s="46"/>
      <c r="AL21" s="46"/>
      <c r="AM21" s="46"/>
      <c r="AN21" s="46"/>
      <c r="AO21" s="46"/>
      <c r="AP21" s="55"/>
    </row>
    <row r="22" spans="2:42" s="40" customFormat="1" ht="23.25" customHeight="1" x14ac:dyDescent="0.3">
      <c r="B22" s="76">
        <v>15</v>
      </c>
      <c r="C22" s="58">
        <v>30</v>
      </c>
      <c r="D22" s="57">
        <v>16</v>
      </c>
      <c r="E22" s="77">
        <f t="shared" si="0"/>
        <v>46</v>
      </c>
      <c r="G22" s="45"/>
      <c r="H22" s="46"/>
      <c r="I22" s="46"/>
      <c r="J22" s="46"/>
      <c r="K22" s="46"/>
      <c r="L22" s="46"/>
      <c r="M22" s="46"/>
      <c r="N22" s="46"/>
      <c r="O22" s="46"/>
      <c r="P22" s="46"/>
      <c r="Q22" s="46"/>
      <c r="R22" s="46"/>
      <c r="S22" s="46"/>
      <c r="T22" s="46"/>
      <c r="U22" s="46"/>
      <c r="V22" s="46"/>
      <c r="W22" s="46"/>
      <c r="X22" s="46"/>
      <c r="Y22" s="46"/>
      <c r="Z22" s="46"/>
      <c r="AA22" s="46"/>
      <c r="AB22" s="46"/>
      <c r="AC22" s="46"/>
      <c r="AD22" s="46"/>
      <c r="AE22" s="46"/>
      <c r="AF22" s="46"/>
      <c r="AG22" s="46"/>
      <c r="AH22" s="46"/>
      <c r="AI22" s="46"/>
      <c r="AJ22" s="46"/>
      <c r="AK22" s="46"/>
      <c r="AL22" s="46"/>
      <c r="AM22" s="46"/>
      <c r="AN22" s="46"/>
      <c r="AO22" s="46"/>
      <c r="AP22" s="55"/>
    </row>
    <row r="23" spans="2:42" s="40" customFormat="1" ht="23.25" customHeight="1" thickBot="1" x14ac:dyDescent="0.35">
      <c r="B23" s="76">
        <v>16</v>
      </c>
      <c r="C23" s="58">
        <v>30</v>
      </c>
      <c r="D23" s="57">
        <v>16</v>
      </c>
      <c r="E23" s="77">
        <f t="shared" si="0"/>
        <v>46</v>
      </c>
      <c r="G23" s="45"/>
      <c r="H23" s="46"/>
      <c r="I23" s="46"/>
      <c r="J23" s="46"/>
      <c r="K23" s="46"/>
      <c r="L23" s="46"/>
      <c r="M23" s="46"/>
      <c r="N23" s="46"/>
      <c r="O23" s="46"/>
      <c r="P23" s="46"/>
      <c r="Q23" s="46"/>
      <c r="R23" s="46"/>
      <c r="S23" s="46"/>
      <c r="T23" s="46"/>
      <c r="U23" s="46"/>
      <c r="V23" s="46"/>
      <c r="W23" s="46"/>
      <c r="X23" s="46"/>
      <c r="Y23" s="46"/>
      <c r="Z23" s="46"/>
      <c r="AA23" s="46"/>
      <c r="AB23" s="46"/>
      <c r="AC23" s="46"/>
      <c r="AD23" s="46"/>
      <c r="AE23" s="46"/>
      <c r="AF23" s="46"/>
      <c r="AG23" s="46"/>
      <c r="AH23" s="46"/>
      <c r="AI23" s="46"/>
      <c r="AJ23" s="46"/>
      <c r="AK23" s="46"/>
      <c r="AL23" s="46"/>
      <c r="AM23" s="46"/>
      <c r="AN23" s="46"/>
      <c r="AO23" s="46"/>
      <c r="AP23" s="55"/>
    </row>
    <row r="24" spans="2:42" s="40" customFormat="1" ht="23.25" customHeight="1" x14ac:dyDescent="0.3">
      <c r="B24" s="76">
        <v>17</v>
      </c>
      <c r="C24" s="58">
        <v>31</v>
      </c>
      <c r="D24" s="57">
        <v>16</v>
      </c>
      <c r="E24" s="77">
        <f t="shared" si="0"/>
        <v>47</v>
      </c>
      <c r="G24" s="45"/>
      <c r="H24" s="312" t="s">
        <v>107</v>
      </c>
      <c r="I24" s="313"/>
      <c r="J24" s="313"/>
      <c r="K24" s="313"/>
      <c r="L24" s="313"/>
      <c r="M24" s="313"/>
      <c r="N24" s="313"/>
      <c r="O24" s="313"/>
      <c r="P24" s="313"/>
      <c r="Q24" s="313"/>
      <c r="R24" s="313"/>
      <c r="S24" s="313"/>
      <c r="T24" s="313"/>
      <c r="U24" s="313"/>
      <c r="V24" s="313"/>
      <c r="W24" s="313"/>
      <c r="X24" s="313"/>
      <c r="Y24" s="313"/>
      <c r="Z24" s="313"/>
      <c r="AA24" s="313"/>
      <c r="AB24" s="313"/>
      <c r="AC24" s="313"/>
      <c r="AD24" s="313"/>
      <c r="AE24" s="313"/>
      <c r="AF24" s="313"/>
      <c r="AG24" s="313"/>
      <c r="AH24" s="313"/>
      <c r="AI24" s="313"/>
      <c r="AJ24" s="313"/>
      <c r="AK24" s="313"/>
      <c r="AL24" s="313"/>
      <c r="AM24" s="313"/>
      <c r="AN24" s="313"/>
      <c r="AO24" s="314"/>
      <c r="AP24" s="55"/>
    </row>
    <row r="25" spans="2:42" s="40" customFormat="1" ht="23.25" customHeight="1" thickBot="1" x14ac:dyDescent="0.35">
      <c r="B25" s="76">
        <v>18</v>
      </c>
      <c r="C25" s="58">
        <v>24</v>
      </c>
      <c r="D25" s="57">
        <v>12</v>
      </c>
      <c r="E25" s="77">
        <f t="shared" si="0"/>
        <v>36</v>
      </c>
      <c r="G25" s="45"/>
      <c r="H25" s="315"/>
      <c r="I25" s="316"/>
      <c r="J25" s="316"/>
      <c r="K25" s="316"/>
      <c r="L25" s="316"/>
      <c r="M25" s="316"/>
      <c r="N25" s="316"/>
      <c r="O25" s="316"/>
      <c r="P25" s="316"/>
      <c r="Q25" s="316"/>
      <c r="R25" s="316"/>
      <c r="S25" s="316"/>
      <c r="T25" s="316"/>
      <c r="U25" s="316"/>
      <c r="V25" s="316"/>
      <c r="W25" s="316"/>
      <c r="X25" s="316"/>
      <c r="Y25" s="316"/>
      <c r="Z25" s="316"/>
      <c r="AA25" s="316"/>
      <c r="AB25" s="316"/>
      <c r="AC25" s="316"/>
      <c r="AD25" s="316"/>
      <c r="AE25" s="316"/>
      <c r="AF25" s="316"/>
      <c r="AG25" s="316"/>
      <c r="AH25" s="316"/>
      <c r="AI25" s="316"/>
      <c r="AJ25" s="316"/>
      <c r="AK25" s="316"/>
      <c r="AL25" s="316"/>
      <c r="AM25" s="316"/>
      <c r="AN25" s="316"/>
      <c r="AO25" s="317"/>
      <c r="AP25" s="55"/>
    </row>
    <row r="26" spans="2:42" s="40" customFormat="1" ht="23.25" customHeight="1" x14ac:dyDescent="0.3">
      <c r="B26" s="76">
        <v>19</v>
      </c>
      <c r="C26" s="58">
        <v>26</v>
      </c>
      <c r="D26" s="57">
        <v>12</v>
      </c>
      <c r="E26" s="77">
        <f t="shared" si="0"/>
        <v>38</v>
      </c>
      <c r="G26" s="45"/>
      <c r="H26" s="446">
        <f>B3</f>
        <v>44958</v>
      </c>
      <c r="I26" s="68"/>
      <c r="J26" s="68"/>
      <c r="K26" s="449" t="s">
        <v>104</v>
      </c>
      <c r="L26" s="449"/>
      <c r="M26" s="449"/>
      <c r="N26" s="449"/>
      <c r="O26" s="449"/>
      <c r="P26" s="449"/>
      <c r="Q26" s="449"/>
      <c r="R26" s="449"/>
      <c r="S26" s="449"/>
      <c r="T26" s="449"/>
      <c r="U26" s="449"/>
      <c r="V26" s="449"/>
      <c r="W26" s="449"/>
      <c r="X26" s="449"/>
      <c r="Y26" s="449"/>
      <c r="Z26" s="449"/>
      <c r="AA26" s="449"/>
      <c r="AB26" s="449"/>
      <c r="AC26" s="449"/>
      <c r="AD26" s="449"/>
      <c r="AE26" s="449"/>
      <c r="AF26" s="449"/>
      <c r="AG26" s="449"/>
      <c r="AH26" s="449"/>
      <c r="AI26" s="449"/>
      <c r="AJ26" s="449"/>
      <c r="AK26" s="449"/>
      <c r="AL26" s="449"/>
      <c r="AM26" s="449"/>
      <c r="AN26" s="449"/>
      <c r="AO26" s="450"/>
      <c r="AP26" s="55"/>
    </row>
    <row r="27" spans="2:42" s="40" customFormat="1" ht="23.25" customHeight="1" x14ac:dyDescent="0.3">
      <c r="B27" s="76">
        <v>20</v>
      </c>
      <c r="C27" s="58">
        <v>30</v>
      </c>
      <c r="D27" s="57">
        <v>16</v>
      </c>
      <c r="E27" s="77">
        <f t="shared" si="0"/>
        <v>46</v>
      </c>
      <c r="G27" s="45"/>
      <c r="H27" s="447"/>
      <c r="I27" s="69"/>
      <c r="J27" s="69"/>
      <c r="K27" s="451" t="s">
        <v>108</v>
      </c>
      <c r="L27" s="452"/>
      <c r="M27" s="452"/>
      <c r="N27" s="452"/>
      <c r="O27" s="452"/>
      <c r="P27" s="452"/>
      <c r="Q27" s="452"/>
      <c r="R27" s="452"/>
      <c r="S27" s="452"/>
      <c r="T27" s="452"/>
      <c r="U27" s="452"/>
      <c r="V27" s="452"/>
      <c r="W27" s="452"/>
      <c r="X27" s="452"/>
      <c r="Y27" s="452"/>
      <c r="Z27" s="452"/>
      <c r="AA27" s="452"/>
      <c r="AB27" s="452"/>
      <c r="AC27" s="452"/>
      <c r="AD27" s="452"/>
      <c r="AE27" s="452"/>
      <c r="AF27" s="452"/>
      <c r="AG27" s="452"/>
      <c r="AH27" s="452"/>
      <c r="AI27" s="452"/>
      <c r="AJ27" s="452"/>
      <c r="AK27" s="452"/>
      <c r="AL27" s="452"/>
      <c r="AM27" s="452"/>
      <c r="AN27" s="452"/>
      <c r="AO27" s="453"/>
      <c r="AP27" s="55"/>
    </row>
    <row r="28" spans="2:42" s="40" customFormat="1" ht="23.25" customHeight="1" thickBot="1" x14ac:dyDescent="0.35">
      <c r="B28" s="76">
        <v>21</v>
      </c>
      <c r="C28" s="58">
        <v>30</v>
      </c>
      <c r="D28" s="57">
        <v>16</v>
      </c>
      <c r="E28" s="77">
        <f t="shared" si="0"/>
        <v>46</v>
      </c>
      <c r="G28" s="45"/>
      <c r="H28" s="448"/>
      <c r="I28" s="70"/>
      <c r="J28" s="70"/>
      <c r="K28" s="442">
        <f>E39</f>
        <v>1210</v>
      </c>
      <c r="L28" s="443"/>
      <c r="M28" s="443"/>
      <c r="N28" s="443"/>
      <c r="O28" s="443"/>
      <c r="P28" s="443"/>
      <c r="Q28" s="443"/>
      <c r="R28" s="443"/>
      <c r="S28" s="443"/>
      <c r="T28" s="443"/>
      <c r="U28" s="443"/>
      <c r="V28" s="443"/>
      <c r="W28" s="443"/>
      <c r="X28" s="443"/>
      <c r="Y28" s="443"/>
      <c r="Z28" s="443"/>
      <c r="AA28" s="443"/>
      <c r="AB28" s="443"/>
      <c r="AC28" s="443"/>
      <c r="AD28" s="443"/>
      <c r="AE28" s="443"/>
      <c r="AF28" s="443"/>
      <c r="AG28" s="443"/>
      <c r="AH28" s="443"/>
      <c r="AI28" s="443"/>
      <c r="AJ28" s="443"/>
      <c r="AK28" s="443"/>
      <c r="AL28" s="443"/>
      <c r="AM28" s="443"/>
      <c r="AN28" s="443"/>
      <c r="AO28" s="445"/>
      <c r="AP28" s="55"/>
    </row>
    <row r="29" spans="2:42" s="40" customFormat="1" ht="23.25" customHeight="1" x14ac:dyDescent="0.3">
      <c r="B29" s="76">
        <v>22</v>
      </c>
      <c r="C29" s="58">
        <v>30</v>
      </c>
      <c r="D29" s="57">
        <v>16</v>
      </c>
      <c r="E29" s="77">
        <f t="shared" si="0"/>
        <v>46</v>
      </c>
      <c r="G29" s="45"/>
      <c r="I29" s="46"/>
      <c r="J29" s="46"/>
      <c r="K29" s="46"/>
      <c r="L29" s="46"/>
      <c r="M29" s="46"/>
      <c r="N29" s="46"/>
      <c r="O29" s="46"/>
      <c r="P29" s="46"/>
      <c r="Q29" s="46"/>
      <c r="R29" s="46"/>
      <c r="S29" s="46"/>
      <c r="T29" s="46"/>
      <c r="U29" s="46"/>
      <c r="V29" s="46"/>
      <c r="W29" s="46"/>
      <c r="X29" s="46"/>
      <c r="Y29" s="46"/>
      <c r="Z29" s="46"/>
      <c r="AA29" s="46"/>
      <c r="AB29" s="46"/>
      <c r="AC29" s="46"/>
      <c r="AD29" s="46"/>
      <c r="AE29" s="46"/>
      <c r="AF29" s="46"/>
      <c r="AG29" s="46"/>
      <c r="AH29" s="46"/>
      <c r="AI29" s="46"/>
      <c r="AJ29" s="46"/>
      <c r="AK29" s="46"/>
      <c r="AL29" s="46"/>
      <c r="AM29" s="46"/>
      <c r="AN29" s="46"/>
      <c r="AO29" s="46"/>
      <c r="AP29" s="55"/>
    </row>
    <row r="30" spans="2:42" s="40" customFormat="1" ht="23.25" customHeight="1" thickBot="1" x14ac:dyDescent="0.35">
      <c r="B30" s="76">
        <v>23</v>
      </c>
      <c r="C30" s="58">
        <v>30</v>
      </c>
      <c r="D30" s="57">
        <v>16</v>
      </c>
      <c r="E30" s="77">
        <f t="shared" si="0"/>
        <v>46</v>
      </c>
      <c r="G30" s="45"/>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55"/>
    </row>
    <row r="31" spans="2:42" s="40" customFormat="1" ht="23.25" customHeight="1" x14ac:dyDescent="0.3">
      <c r="B31" s="76">
        <v>24</v>
      </c>
      <c r="C31" s="58">
        <v>31</v>
      </c>
      <c r="D31" s="57">
        <v>16</v>
      </c>
      <c r="E31" s="77">
        <f t="shared" si="0"/>
        <v>47</v>
      </c>
      <c r="G31" s="45"/>
      <c r="H31" s="312" t="s">
        <v>109</v>
      </c>
      <c r="I31" s="313"/>
      <c r="J31" s="313"/>
      <c r="K31" s="313"/>
      <c r="L31" s="313"/>
      <c r="M31" s="313"/>
      <c r="N31" s="313"/>
      <c r="O31" s="313"/>
      <c r="P31" s="313"/>
      <c r="Q31" s="313"/>
      <c r="R31" s="313"/>
      <c r="S31" s="313"/>
      <c r="T31" s="313"/>
      <c r="U31" s="313"/>
      <c r="V31" s="313"/>
      <c r="W31" s="313"/>
      <c r="X31" s="313"/>
      <c r="Y31" s="313"/>
      <c r="Z31" s="313"/>
      <c r="AA31" s="313"/>
      <c r="AB31" s="313"/>
      <c r="AC31" s="313"/>
      <c r="AD31" s="313"/>
      <c r="AE31" s="313"/>
      <c r="AF31" s="313"/>
      <c r="AG31" s="313"/>
      <c r="AH31" s="313"/>
      <c r="AI31" s="313"/>
      <c r="AJ31" s="313"/>
      <c r="AK31" s="313"/>
      <c r="AL31" s="313"/>
      <c r="AM31" s="313"/>
      <c r="AN31" s="313"/>
      <c r="AO31" s="314"/>
      <c r="AP31" s="55"/>
    </row>
    <row r="32" spans="2:42" s="40" customFormat="1" ht="23.25" customHeight="1" thickBot="1" x14ac:dyDescent="0.35">
      <c r="B32" s="76">
        <v>25</v>
      </c>
      <c r="C32" s="58">
        <v>24</v>
      </c>
      <c r="D32" s="57">
        <v>12</v>
      </c>
      <c r="E32" s="77">
        <f t="shared" si="0"/>
        <v>36</v>
      </c>
      <c r="G32" s="45"/>
      <c r="H32" s="315"/>
      <c r="I32" s="316"/>
      <c r="J32" s="316"/>
      <c r="K32" s="316"/>
      <c r="L32" s="316"/>
      <c r="M32" s="316"/>
      <c r="N32" s="316"/>
      <c r="O32" s="316"/>
      <c r="P32" s="316"/>
      <c r="Q32" s="316"/>
      <c r="R32" s="316"/>
      <c r="S32" s="316"/>
      <c r="T32" s="316"/>
      <c r="U32" s="316"/>
      <c r="V32" s="316"/>
      <c r="W32" s="316"/>
      <c r="X32" s="316"/>
      <c r="Y32" s="316"/>
      <c r="Z32" s="316"/>
      <c r="AA32" s="316"/>
      <c r="AB32" s="316"/>
      <c r="AC32" s="316"/>
      <c r="AD32" s="316"/>
      <c r="AE32" s="316"/>
      <c r="AF32" s="316"/>
      <c r="AG32" s="316"/>
      <c r="AH32" s="316"/>
      <c r="AI32" s="316"/>
      <c r="AJ32" s="316"/>
      <c r="AK32" s="316"/>
      <c r="AL32" s="316"/>
      <c r="AM32" s="316"/>
      <c r="AN32" s="316"/>
      <c r="AO32" s="317"/>
      <c r="AP32" s="55"/>
    </row>
    <row r="33" spans="2:49" s="40" customFormat="1" ht="23.25" customHeight="1" thickBot="1" x14ac:dyDescent="0.35">
      <c r="B33" s="76">
        <v>26</v>
      </c>
      <c r="C33" s="58">
        <v>26</v>
      </c>
      <c r="D33" s="57">
        <v>12</v>
      </c>
      <c r="E33" s="77">
        <f t="shared" si="0"/>
        <v>38</v>
      </c>
      <c r="G33" s="45"/>
      <c r="H33" s="446">
        <f>B3</f>
        <v>44958</v>
      </c>
      <c r="I33" s="54"/>
      <c r="J33" s="54"/>
      <c r="K33" s="365" t="s">
        <v>2</v>
      </c>
      <c r="L33" s="365"/>
      <c r="M33" s="365"/>
      <c r="N33" s="365"/>
      <c r="O33" s="365"/>
      <c r="P33" s="365"/>
      <c r="Q33" s="365"/>
      <c r="R33" s="365"/>
      <c r="S33" s="365"/>
      <c r="T33" s="365"/>
      <c r="U33" s="365"/>
      <c r="V33" s="365"/>
      <c r="W33" s="365"/>
      <c r="X33" s="365"/>
      <c r="Y33" s="365"/>
      <c r="Z33" s="365"/>
      <c r="AA33" s="365"/>
      <c r="AB33" s="365"/>
      <c r="AC33" s="365"/>
      <c r="AD33" s="365"/>
      <c r="AE33" s="365"/>
      <c r="AF33" s="365"/>
      <c r="AG33" s="365"/>
      <c r="AH33" s="365"/>
      <c r="AI33" s="365"/>
      <c r="AJ33" s="365"/>
      <c r="AK33" s="365"/>
      <c r="AL33" s="365"/>
      <c r="AM33" s="365"/>
      <c r="AN33" s="365"/>
      <c r="AO33" s="366"/>
      <c r="AP33" s="55"/>
    </row>
    <row r="34" spans="2:49" s="40" customFormat="1" ht="23.25" customHeight="1" x14ac:dyDescent="0.3">
      <c r="B34" s="76">
        <v>27</v>
      </c>
      <c r="C34" s="58">
        <v>30</v>
      </c>
      <c r="D34" s="57">
        <v>16</v>
      </c>
      <c r="E34" s="77">
        <f t="shared" si="0"/>
        <v>46</v>
      </c>
      <c r="G34" s="45"/>
      <c r="H34" s="447"/>
      <c r="I34" s="433" t="s">
        <v>12</v>
      </c>
      <c r="J34" s="434"/>
      <c r="K34" s="59">
        <v>1</v>
      </c>
      <c r="L34" s="59">
        <v>2</v>
      </c>
      <c r="M34" s="59">
        <v>3</v>
      </c>
      <c r="N34" s="59">
        <v>4</v>
      </c>
      <c r="O34" s="59">
        <v>5</v>
      </c>
      <c r="P34" s="59">
        <v>6</v>
      </c>
      <c r="Q34" s="59">
        <v>7</v>
      </c>
      <c r="R34" s="59">
        <v>8</v>
      </c>
      <c r="S34" s="59">
        <v>9</v>
      </c>
      <c r="T34" s="59">
        <v>10</v>
      </c>
      <c r="U34" s="59">
        <v>11</v>
      </c>
      <c r="V34" s="59">
        <v>12</v>
      </c>
      <c r="W34" s="59">
        <v>13</v>
      </c>
      <c r="X34" s="59">
        <v>14</v>
      </c>
      <c r="Y34" s="59">
        <v>15</v>
      </c>
      <c r="Z34" s="59">
        <v>16</v>
      </c>
      <c r="AA34" s="59">
        <v>17</v>
      </c>
      <c r="AB34" s="59">
        <v>18</v>
      </c>
      <c r="AC34" s="59">
        <v>19</v>
      </c>
      <c r="AD34" s="59">
        <v>20</v>
      </c>
      <c r="AE34" s="59">
        <v>21</v>
      </c>
      <c r="AF34" s="59">
        <v>22</v>
      </c>
      <c r="AG34" s="59">
        <v>23</v>
      </c>
      <c r="AH34" s="59">
        <v>24</v>
      </c>
      <c r="AI34" s="59">
        <v>25</v>
      </c>
      <c r="AJ34" s="59">
        <v>26</v>
      </c>
      <c r="AK34" s="59">
        <v>27</v>
      </c>
      <c r="AL34" s="59">
        <v>28</v>
      </c>
      <c r="AM34" s="59">
        <v>29</v>
      </c>
      <c r="AN34" s="59">
        <v>30</v>
      </c>
      <c r="AO34" s="60">
        <v>31</v>
      </c>
      <c r="AP34" s="55"/>
    </row>
    <row r="35" spans="2:49" s="40" customFormat="1" ht="23.25" customHeight="1" thickBot="1" x14ac:dyDescent="0.35">
      <c r="B35" s="76">
        <v>28</v>
      </c>
      <c r="C35" s="58">
        <v>30</v>
      </c>
      <c r="D35" s="57">
        <v>16</v>
      </c>
      <c r="E35" s="77">
        <f t="shared" si="0"/>
        <v>46</v>
      </c>
      <c r="G35" s="45"/>
      <c r="H35" s="448"/>
      <c r="I35" s="378" t="s">
        <v>110</v>
      </c>
      <c r="J35" s="378"/>
      <c r="K35" s="82">
        <v>30</v>
      </c>
      <c r="L35" s="83">
        <v>30</v>
      </c>
      <c r="M35" s="83">
        <v>31</v>
      </c>
      <c r="N35" s="83">
        <v>24</v>
      </c>
      <c r="O35" s="83">
        <v>26</v>
      </c>
      <c r="P35" s="83">
        <v>30</v>
      </c>
      <c r="Q35" s="83">
        <v>30</v>
      </c>
      <c r="R35" s="83">
        <v>30</v>
      </c>
      <c r="S35" s="83">
        <v>20</v>
      </c>
      <c r="T35" s="83">
        <v>31</v>
      </c>
      <c r="U35" s="83">
        <v>24</v>
      </c>
      <c r="V35" s="83">
        <v>26</v>
      </c>
      <c r="W35" s="83">
        <v>30</v>
      </c>
      <c r="X35" s="83">
        <v>30</v>
      </c>
      <c r="Y35" s="83">
        <v>30</v>
      </c>
      <c r="Z35" s="83">
        <v>30</v>
      </c>
      <c r="AA35" s="83">
        <v>31</v>
      </c>
      <c r="AB35" s="83">
        <v>24</v>
      </c>
      <c r="AC35" s="83">
        <v>26</v>
      </c>
      <c r="AD35" s="83">
        <v>30</v>
      </c>
      <c r="AE35" s="83">
        <v>30</v>
      </c>
      <c r="AF35" s="83">
        <v>30</v>
      </c>
      <c r="AG35" s="83">
        <v>30</v>
      </c>
      <c r="AH35" s="83">
        <v>31</v>
      </c>
      <c r="AI35" s="83">
        <v>24</v>
      </c>
      <c r="AJ35" s="83">
        <v>26</v>
      </c>
      <c r="AK35" s="83">
        <v>30</v>
      </c>
      <c r="AL35" s="83">
        <v>30</v>
      </c>
      <c r="AM35" s="64"/>
      <c r="AN35" s="64"/>
      <c r="AO35" s="64"/>
      <c r="AP35" s="55"/>
    </row>
    <row r="36" spans="2:49" s="40" customFormat="1" ht="23.25" customHeight="1" thickBot="1" x14ac:dyDescent="0.35">
      <c r="B36" s="76">
        <v>29</v>
      </c>
      <c r="C36" s="58">
        <v>0</v>
      </c>
      <c r="D36" s="57">
        <v>0</v>
      </c>
      <c r="E36" s="77">
        <f t="shared" si="0"/>
        <v>0</v>
      </c>
      <c r="G36" s="45"/>
      <c r="I36" s="46"/>
      <c r="J36" s="46"/>
      <c r="K36" s="82">
        <v>16</v>
      </c>
      <c r="L36" s="83">
        <v>16</v>
      </c>
      <c r="M36" s="83">
        <v>16</v>
      </c>
      <c r="N36" s="83">
        <v>12</v>
      </c>
      <c r="O36" s="83">
        <v>12</v>
      </c>
      <c r="P36" s="83">
        <v>16</v>
      </c>
      <c r="Q36" s="83">
        <v>16</v>
      </c>
      <c r="R36" s="83">
        <v>16</v>
      </c>
      <c r="S36" s="83">
        <v>16</v>
      </c>
      <c r="T36" s="83">
        <v>16</v>
      </c>
      <c r="U36" s="83">
        <v>12</v>
      </c>
      <c r="V36" s="83">
        <v>12</v>
      </c>
      <c r="W36" s="83">
        <v>16</v>
      </c>
      <c r="X36" s="83">
        <v>16</v>
      </c>
      <c r="Y36" s="83">
        <v>16</v>
      </c>
      <c r="Z36" s="83">
        <v>16</v>
      </c>
      <c r="AA36" s="83">
        <v>16</v>
      </c>
      <c r="AB36" s="83">
        <v>12</v>
      </c>
      <c r="AC36" s="83">
        <v>12</v>
      </c>
      <c r="AD36" s="83">
        <v>16</v>
      </c>
      <c r="AE36" s="83">
        <v>16</v>
      </c>
      <c r="AF36" s="83">
        <v>16</v>
      </c>
      <c r="AG36" s="83">
        <v>16</v>
      </c>
      <c r="AH36" s="83">
        <v>16</v>
      </c>
      <c r="AI36" s="83">
        <v>12</v>
      </c>
      <c r="AJ36" s="83">
        <v>12</v>
      </c>
      <c r="AK36" s="83">
        <v>16</v>
      </c>
      <c r="AL36" s="83">
        <v>16</v>
      </c>
      <c r="AM36" s="46"/>
      <c r="AN36" s="46"/>
      <c r="AO36" s="46"/>
      <c r="AP36" s="55"/>
    </row>
    <row r="37" spans="2:49" s="40" customFormat="1" ht="23.25" customHeight="1" thickBot="1" x14ac:dyDescent="0.35">
      <c r="B37" s="76">
        <v>30</v>
      </c>
      <c r="C37" s="58">
        <v>0</v>
      </c>
      <c r="D37" s="57">
        <v>0</v>
      </c>
      <c r="E37" s="77">
        <f t="shared" si="0"/>
        <v>0</v>
      </c>
      <c r="G37" s="45"/>
      <c r="H37" s="46"/>
      <c r="I37" s="46"/>
      <c r="J37" s="46"/>
      <c r="K37" s="84">
        <v>46</v>
      </c>
      <c r="L37" s="85">
        <v>46</v>
      </c>
      <c r="M37" s="85">
        <v>47</v>
      </c>
      <c r="N37" s="85">
        <v>36</v>
      </c>
      <c r="O37" s="85">
        <v>38</v>
      </c>
      <c r="P37" s="85">
        <v>46</v>
      </c>
      <c r="Q37" s="85">
        <v>46</v>
      </c>
      <c r="R37" s="85">
        <v>46</v>
      </c>
      <c r="S37" s="85">
        <v>36</v>
      </c>
      <c r="T37" s="85">
        <v>47</v>
      </c>
      <c r="U37" s="85">
        <v>36</v>
      </c>
      <c r="V37" s="85">
        <v>38</v>
      </c>
      <c r="W37" s="85">
        <v>46</v>
      </c>
      <c r="X37" s="85">
        <v>46</v>
      </c>
      <c r="Y37" s="85">
        <v>46</v>
      </c>
      <c r="Z37" s="85">
        <v>46</v>
      </c>
      <c r="AA37" s="85">
        <v>47</v>
      </c>
      <c r="AB37" s="85">
        <v>36</v>
      </c>
      <c r="AC37" s="85">
        <v>38</v>
      </c>
      <c r="AD37" s="85">
        <v>46</v>
      </c>
      <c r="AE37" s="85">
        <v>46</v>
      </c>
      <c r="AF37" s="85">
        <v>46</v>
      </c>
      <c r="AG37" s="85">
        <v>46</v>
      </c>
      <c r="AH37" s="85">
        <v>47</v>
      </c>
      <c r="AI37" s="85">
        <v>36</v>
      </c>
      <c r="AJ37" s="85">
        <v>38</v>
      </c>
      <c r="AK37" s="85">
        <v>46</v>
      </c>
      <c r="AL37" s="85">
        <v>46</v>
      </c>
    </row>
    <row r="38" spans="2:49" ht="18" x14ac:dyDescent="0.3">
      <c r="B38" s="76">
        <v>31</v>
      </c>
      <c r="C38" s="58">
        <v>0</v>
      </c>
      <c r="D38" s="58">
        <v>0</v>
      </c>
      <c r="E38" s="77">
        <f t="shared" si="0"/>
        <v>0</v>
      </c>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0"/>
      <c r="AQ38" s="40"/>
      <c r="AR38" s="40"/>
      <c r="AS38" s="40"/>
      <c r="AT38" s="40"/>
      <c r="AU38" s="40"/>
      <c r="AV38" s="40"/>
      <c r="AW38" s="40"/>
    </row>
    <row r="39" spans="2:49" ht="18.600000000000001" thickBot="1" x14ac:dyDescent="0.3">
      <c r="B39" s="86" t="s">
        <v>3</v>
      </c>
      <c r="C39" s="87">
        <f>SUM(C8:C38)</f>
        <v>794</v>
      </c>
      <c r="D39" s="87">
        <f>SUM(D8:D38)</f>
        <v>416</v>
      </c>
      <c r="E39" s="88">
        <f t="shared" si="0"/>
        <v>1210</v>
      </c>
      <c r="H39" s="46"/>
      <c r="I39" s="46"/>
      <c r="J39" s="46"/>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40"/>
      <c r="AL39" s="40"/>
      <c r="AM39" s="40"/>
      <c r="AN39" s="40"/>
      <c r="AO39" s="40"/>
      <c r="AP39" s="40"/>
      <c r="AQ39" s="40"/>
      <c r="AR39" s="40"/>
      <c r="AS39" s="40"/>
      <c r="AT39" s="40"/>
      <c r="AU39" s="40"/>
      <c r="AV39" s="40"/>
      <c r="AW39" s="40"/>
    </row>
    <row r="40" spans="2:49" ht="18" thickTop="1" x14ac:dyDescent="0.25">
      <c r="K40" s="40"/>
      <c r="L40" s="40"/>
      <c r="M40" s="40"/>
      <c r="N40" s="40"/>
      <c r="O40" s="40"/>
      <c r="P40" s="40"/>
      <c r="Q40" s="40"/>
      <c r="R40" s="40"/>
      <c r="S40" s="40"/>
      <c r="T40" s="40"/>
      <c r="U40" s="40"/>
      <c r="V40" s="40"/>
      <c r="W40" s="40"/>
      <c r="X40" s="40"/>
      <c r="Y40" s="40"/>
      <c r="Z40" s="40"/>
      <c r="AA40" s="40"/>
      <c r="AB40" s="40"/>
      <c r="AC40" s="40"/>
      <c r="AD40" s="40"/>
      <c r="AE40" s="40"/>
      <c r="AF40" s="40"/>
      <c r="AG40" s="40"/>
      <c r="AH40" s="40"/>
      <c r="AI40" s="40"/>
      <c r="AJ40" s="40"/>
      <c r="AK40" s="40"/>
      <c r="AL40" s="40"/>
      <c r="AM40" s="40"/>
      <c r="AN40" s="40"/>
      <c r="AO40" s="40"/>
      <c r="AP40" s="40"/>
      <c r="AQ40" s="40"/>
      <c r="AR40" s="40"/>
      <c r="AS40" s="40"/>
      <c r="AT40" s="40"/>
      <c r="AU40" s="40"/>
      <c r="AV40" s="40"/>
      <c r="AW40" s="40"/>
    </row>
    <row r="41" spans="2:49" ht="17.399999999999999" x14ac:dyDescent="0.25">
      <c r="AJ41" s="40"/>
      <c r="AK41" s="40"/>
      <c r="AL41" s="40"/>
      <c r="AM41" s="40"/>
      <c r="AN41" s="40"/>
      <c r="AO41" s="40"/>
    </row>
    <row r="42" spans="2:49" ht="17.399999999999999" x14ac:dyDescent="0.25">
      <c r="AJ42" s="40"/>
      <c r="AK42" s="40"/>
      <c r="AL42" s="40"/>
      <c r="AM42" s="40"/>
      <c r="AN42" s="40"/>
      <c r="AO42" s="40"/>
    </row>
  </sheetData>
  <mergeCells count="30">
    <mergeCell ref="H33:H35"/>
    <mergeCell ref="K33:AO33"/>
    <mergeCell ref="I34:J34"/>
    <mergeCell ref="I35:J35"/>
    <mergeCell ref="H24:AO25"/>
    <mergeCell ref="H26:H28"/>
    <mergeCell ref="K26:AO26"/>
    <mergeCell ref="K27:AO27"/>
    <mergeCell ref="K28:AO28"/>
    <mergeCell ref="H31:AO32"/>
    <mergeCell ref="H16:AO17"/>
    <mergeCell ref="H18:H20"/>
    <mergeCell ref="K18:AO18"/>
    <mergeCell ref="K19:Y19"/>
    <mergeCell ref="Z19:AO19"/>
    <mergeCell ref="K20:Y20"/>
    <mergeCell ref="Z20:AO20"/>
    <mergeCell ref="K8:AO8"/>
    <mergeCell ref="H9:H13"/>
    <mergeCell ref="I9:J9"/>
    <mergeCell ref="I10:J10"/>
    <mergeCell ref="I11:J11"/>
    <mergeCell ref="I12:J12"/>
    <mergeCell ref="I13:J13"/>
    <mergeCell ref="B2:AP2"/>
    <mergeCell ref="B3:AP3"/>
    <mergeCell ref="B5:B7"/>
    <mergeCell ref="C5:E5"/>
    <mergeCell ref="C6:E6"/>
    <mergeCell ref="H6:AO7"/>
  </mergeCells>
  <pageMargins left="0.75" right="0.75" top="1" bottom="1" header="0" footer="0"/>
  <pageSetup paperSize="9" scale="26" orientation="landscape" horizontalDpi="300" verticalDpi="300" r:id="rId1"/>
  <headerFooter alignWithMargins="0"/>
  <drawing r:id="rId2"/>
</worksheet>
</file>

<file path=docMetadata/LabelInfo.xml><?xml version="1.0" encoding="utf-8"?>
<clbl:labelList xmlns:clbl="http://schemas.microsoft.com/office/2020/mipLabelMetadata">
  <clbl:label id="{24a632fe-9754-48c6-b0a6-be004693446d}" enabled="0" method="" siteId="{24a632fe-9754-48c6-b0a6-be004693446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36</vt:i4>
      </vt:variant>
    </vt:vector>
  </HeadingPairs>
  <TitlesOfParts>
    <vt:vector size="36" baseType="lpstr">
      <vt:lpstr>Históricov00</vt:lpstr>
      <vt:lpstr>MESv0</vt:lpstr>
      <vt:lpstr>MES</vt:lpstr>
      <vt:lpstr>Comparativa</vt:lpstr>
      <vt:lpstr>Simulacion índices</vt:lpstr>
      <vt:lpstr>ENE'23</vt:lpstr>
      <vt:lpstr>FEB'23</vt:lpstr>
      <vt:lpstr>MAR'23</vt:lpstr>
      <vt:lpstr>ABR'23</vt:lpstr>
      <vt:lpstr>MAY'23</vt:lpstr>
      <vt:lpstr>JUN'23</vt:lpstr>
      <vt:lpstr>JUL'23</vt:lpstr>
      <vt:lpstr>AGO'23</vt:lpstr>
      <vt:lpstr>SEP'23</vt:lpstr>
      <vt:lpstr>OCT'23</vt:lpstr>
      <vt:lpstr>NOV'23</vt:lpstr>
      <vt:lpstr>DIC'23</vt:lpstr>
      <vt:lpstr>ENE'24</vt:lpstr>
      <vt:lpstr>FEB'24</vt:lpstr>
      <vt:lpstr>MAR'24</vt:lpstr>
      <vt:lpstr>ABR'24</vt:lpstr>
      <vt:lpstr>JUN'24</vt:lpstr>
      <vt:lpstr>JUL'24</vt:lpstr>
      <vt:lpstr>MAY'24</vt:lpstr>
      <vt:lpstr>AGO'24</vt:lpstr>
      <vt:lpstr>SEP'24</vt:lpstr>
      <vt:lpstr>OCT'24</vt:lpstr>
      <vt:lpstr>NOV'24</vt:lpstr>
      <vt:lpstr>DIC'24</vt:lpstr>
      <vt:lpstr>ENE'25</vt:lpstr>
      <vt:lpstr>FEB'25</vt:lpstr>
      <vt:lpstr>MAR'25</vt:lpstr>
      <vt:lpstr>ABR'25</vt:lpstr>
      <vt:lpstr>MAY'25</vt:lpstr>
      <vt:lpstr>Histórico</vt:lpstr>
      <vt:lpstr>FEB'23v0</vt:lpstr>
    </vt:vector>
  </TitlesOfParts>
  <Manager/>
  <Company>Ineco</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Ureña Marcos, Raúl</dc:creator>
  <cp:keywords/>
  <dc:description/>
  <cp:lastModifiedBy>de la Paz Notario, Iván</cp:lastModifiedBy>
  <cp:revision/>
  <dcterms:created xsi:type="dcterms:W3CDTF">2023-03-14T10:56:37Z</dcterms:created>
  <dcterms:modified xsi:type="dcterms:W3CDTF">2025-06-12T15:57:41Z</dcterms:modified>
  <cp:category/>
  <cp:contentStatus/>
</cp:coreProperties>
</file>